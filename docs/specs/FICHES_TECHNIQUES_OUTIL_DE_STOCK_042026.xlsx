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cquard\Projets\Tiraboschi - POS ERP V2\"/>
    </mc:Choice>
  </mc:AlternateContent>
  <xr:revisionPtr revIDLastSave="0" documentId="8_{B4977C12-FDD6-4A57-A77F-D506A56C8E7C}" xr6:coauthVersionLast="47" xr6:coauthVersionMax="47" xr10:uidLastSave="{00000000-0000-0000-0000-000000000000}"/>
  <bookViews>
    <workbookView xWindow="-120" yWindow="-120" windowWidth="29040" windowHeight="15720" xr2:uid="{64CF74E0-5C76-7449-89FD-27D66DB53515}"/>
  </bookViews>
  <sheets>
    <sheet name="RESUME SIMPLE" sheetId="13" r:id="rId1"/>
    <sheet name="RESUME" sheetId="12" r:id="rId2"/>
    <sheet name="JANE" sheetId="1" r:id="rId3"/>
    <sheet name="VICTOIRE" sheetId="2" r:id="rId4"/>
    <sheet name="COLETTE" sheetId="3" r:id="rId5"/>
    <sheet name="COLETTE EXO" sheetId="6" r:id="rId6"/>
    <sheet name="OLYMPE" sheetId="4" r:id="rId7"/>
    <sheet name="POCHON OLYMPE" sheetId="9" r:id="rId8"/>
    <sheet name="RAFAEL" sheetId="7" r:id="rId9"/>
    <sheet name="RAFAEL EXO" sheetId="8" r:id="rId10"/>
    <sheet name="CAROLINA" sheetId="11" r:id="rId11"/>
  </sheets>
  <definedNames>
    <definedName name="_xlnm._FilterDatabase" localSheetId="0" hidden="1">'RESUME SIMPLE'!$A$1:$AT$15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1" l="1"/>
  <c r="K16" i="11"/>
  <c r="K17" i="8"/>
  <c r="K16" i="8"/>
  <c r="K17" i="7"/>
  <c r="K16" i="7"/>
  <c r="K14" i="9"/>
  <c r="K12" i="9"/>
  <c r="K12" i="4"/>
  <c r="K16" i="6"/>
  <c r="K15" i="6"/>
  <c r="K16" i="3"/>
  <c r="K13" i="4"/>
  <c r="K15" i="3"/>
  <c r="K17" i="2"/>
  <c r="J17" i="2"/>
</calcChain>
</file>

<file path=xl/sharedStrings.xml><?xml version="1.0" encoding="utf-8"?>
<sst xmlns="http://schemas.openxmlformats.org/spreadsheetml/2006/main" count="1617" uniqueCount="234">
  <si>
    <t xml:space="preserve">JANE </t>
  </si>
  <si>
    <t>ATELIER</t>
  </si>
  <si>
    <t>PEAUX</t>
  </si>
  <si>
    <t>BIJOUTERIE</t>
  </si>
  <si>
    <t>TYPOLOGIE</t>
  </si>
  <si>
    <t>FABRICANT</t>
  </si>
  <si>
    <t>CONTACT</t>
  </si>
  <si>
    <t>DOUBLURE</t>
  </si>
  <si>
    <t>PACKAGING</t>
  </si>
  <si>
    <t>Barenia Caviar</t>
  </si>
  <si>
    <t>Tanneries HAAS</t>
  </si>
  <si>
    <t>scroidieu@tanneries-haas.com</t>
  </si>
  <si>
    <t>+33 6 31 66 64 37</t>
  </si>
  <si>
    <t>Micro caviar brillant</t>
  </si>
  <si>
    <t>La trouvaille</t>
  </si>
  <si>
    <t>06 78 44 06 33</t>
  </si>
  <si>
    <t>PRODUITS FINI EN STOCK</t>
  </si>
  <si>
    <t>Nona Source</t>
  </si>
  <si>
    <t xml:space="preserve">Alcantara </t>
  </si>
  <si>
    <t>https://www.nona-source.com/fr/products/t23t04801?color=Arctic</t>
  </si>
  <si>
    <t>MANDO</t>
  </si>
  <si>
    <t>mando.paris@orange.fr</t>
  </si>
  <si>
    <t>01 44 59 85 11</t>
  </si>
  <si>
    <t>METTETAL</t>
  </si>
  <si>
    <t>Chèvre Alran</t>
  </si>
  <si>
    <t>Underground veau velours 0,6/0,8</t>
  </si>
  <si>
    <t>a valider</t>
  </si>
  <si>
    <t xml:space="preserve">2 peaux </t>
  </si>
  <si>
    <t>1,5m</t>
  </si>
  <si>
    <t xml:space="preserve">QUANTITE </t>
  </si>
  <si>
    <t>COULEUR</t>
  </si>
  <si>
    <t>en fonction de commande</t>
  </si>
  <si>
    <t>alice@mettetalcreation.com</t>
  </si>
  <si>
    <t>03 86 91 10 96</t>
  </si>
  <si>
    <t>Aimant - 20mm / hauteur 3mm / 4,3kg</t>
  </si>
  <si>
    <t>/</t>
  </si>
  <si>
    <t>https://www.supermagnete.fr/aimants-disques-neodyme/disque-magnetique-20mm-3mm_S-20-03-N</t>
  </si>
  <si>
    <t>Supermagnete</t>
  </si>
  <si>
    <t>VICTOIRE</t>
  </si>
  <si>
    <t>am.higos@carriat.com</t>
  </si>
  <si>
    <t>Epsom</t>
  </si>
  <si>
    <t>La trouvaille /  Tanneries Haas</t>
  </si>
  <si>
    <t>LT : 06 78 44 06 33 // HAAS: +33 6 31 66 64 37</t>
  </si>
  <si>
    <t>Taurillon Oldarra / Lagun / Handia</t>
  </si>
  <si>
    <t>Veau Hermès</t>
  </si>
  <si>
    <t>Tanneries Haas</t>
  </si>
  <si>
    <t>1 peau</t>
  </si>
  <si>
    <t>COLETTE</t>
  </si>
  <si>
    <t>Agneau Bodin Joyeux</t>
  </si>
  <si>
    <t>Agneau Bodin-Joyeux</t>
  </si>
  <si>
    <t>La Trouvaille / Rémy Carriat</t>
  </si>
  <si>
    <t>LT: 06 78 44 06 33 // RM +33 5 59 93 90 88</t>
  </si>
  <si>
    <t>Aligator</t>
  </si>
  <si>
    <t>Aimant - 15 mm / hauteur 2mm / 1,9kg</t>
  </si>
  <si>
    <t>https://www.supermagnete.fr/aimants-disques-neodyme/disque-magnetique-15mm-2mm_S-15-02-N</t>
  </si>
  <si>
    <t>1  Cognac</t>
  </si>
  <si>
    <t>1  Bordeaux</t>
  </si>
  <si>
    <t>STOCK</t>
  </si>
  <si>
    <t>FULL</t>
  </si>
  <si>
    <t>BI-MATIERE</t>
  </si>
  <si>
    <t>1 Noir / Bordeaux</t>
  </si>
  <si>
    <t>1 Bordeaux</t>
  </si>
  <si>
    <t>1 Chocolat</t>
  </si>
  <si>
    <t>+33 6 26 89 78 25</t>
  </si>
  <si>
    <t>contact@atelierfrancktioni.fr</t>
  </si>
  <si>
    <t>06 10 37 19 86 / +33 6 37 57 65 05</t>
  </si>
  <si>
    <t xml:space="preserve">a valider </t>
  </si>
  <si>
    <t>SALPI CREATION</t>
  </si>
  <si>
    <t>06 66 82 82 01</t>
  </si>
  <si>
    <t>creationsalpiparis@gmail.com</t>
  </si>
  <si>
    <t>CHRISTIAN</t>
  </si>
  <si>
    <t>06 77 67 67 37</t>
  </si>
  <si>
    <t xml:space="preserve">LAURENT </t>
  </si>
  <si>
    <t>FRANK  - EN DEV</t>
  </si>
  <si>
    <t>Bouton de col</t>
  </si>
  <si>
    <t>Pieds de fond</t>
  </si>
  <si>
    <t>https://fourniture-maroquinerie.fr/produit/pied-de-sac-a-vis/?attribute_pa_finition=dore</t>
  </si>
  <si>
    <t>FGM</t>
  </si>
  <si>
    <t>https://fourniture-maroquinerie.fr/produit/bouton-de-col-a-vis-pm/?attribute_pa_finition=dore</t>
  </si>
  <si>
    <t>Anneau D passage 27 mm - 20192R1</t>
  </si>
  <si>
    <t>Anneau D largeur 80mm fil 12mm - 19093R6</t>
  </si>
  <si>
    <t>Atelier Noémie Ségrétain</t>
  </si>
  <si>
    <t>ateliernoemiesegretain@gmail.com</t>
  </si>
  <si>
    <t>06 32 60 89 91</t>
  </si>
  <si>
    <t>Demi rond - Anneau D 12mm - 279MC_DV</t>
  </si>
  <si>
    <t xml:space="preserve">Veau Delvaux </t>
  </si>
  <si>
    <t>WHATSAPP : +8613929428893</t>
  </si>
  <si>
    <t xml:space="preserve">Dongguan Yitong hardware Products </t>
  </si>
  <si>
    <t>JENCY</t>
  </si>
  <si>
    <t>Chaîne avec mousquetons</t>
  </si>
  <si>
    <t>à valider</t>
  </si>
  <si>
    <t>Petit sac</t>
  </si>
  <si>
    <t>Atelier Noémie Segrétain</t>
  </si>
  <si>
    <t>1 bande</t>
  </si>
  <si>
    <t>Mousqueton</t>
  </si>
  <si>
    <t>Si avec chaîne</t>
  </si>
  <si>
    <t>Si avec strap</t>
  </si>
  <si>
    <t>La trouvaille en prio</t>
  </si>
  <si>
    <t xml:space="preserve"> Tanneries Haas</t>
  </si>
  <si>
    <t>06 31 66 64 37</t>
  </si>
  <si>
    <t>RAFAEL EXO</t>
  </si>
  <si>
    <t>RAFAEL</t>
  </si>
  <si>
    <t>POUCH OLYMPE</t>
  </si>
  <si>
    <t>OLYMPE</t>
  </si>
  <si>
    <t>COLETTE EXO</t>
  </si>
  <si>
    <t>WHATSAPP : +8618927477693</t>
  </si>
  <si>
    <t>CAROL</t>
  </si>
  <si>
    <t>Aung Crown Clothing Group LTD</t>
  </si>
  <si>
    <t>LOCKALL</t>
  </si>
  <si>
    <t>LIEU DE STOCKAGE</t>
  </si>
  <si>
    <t>COUT UNITAIRE</t>
  </si>
  <si>
    <t xml:space="preserve">1 peau </t>
  </si>
  <si>
    <t>QUANTITE/ MESURE</t>
  </si>
  <si>
    <t>COUT TOTAL SUR LE SAC</t>
  </si>
  <si>
    <t xml:space="preserve">1,5m de microfibre </t>
  </si>
  <si>
    <t xml:space="preserve">1 bande de peau </t>
  </si>
  <si>
    <t>doré</t>
  </si>
  <si>
    <t>Grand sac + papier de soie + dust bag 
+ rubban + sticker + card</t>
  </si>
  <si>
    <t>A ne pas prendre en compte</t>
  </si>
  <si>
    <t>Daudé</t>
  </si>
  <si>
    <t xml:space="preserve">/ </t>
  </si>
  <si>
    <t>https://www.daudeparis.com/</t>
  </si>
  <si>
    <t>Tel: 0973616440</t>
  </si>
  <si>
    <t>Rivet - DRTD120/F4  + DRTC0110/F4</t>
  </si>
  <si>
    <t>Embouts de cordons - 20446R4_DSNV</t>
  </si>
  <si>
    <t>?</t>
  </si>
  <si>
    <t>CAROLINA - A VALIDER</t>
  </si>
  <si>
    <t>Modèle</t>
  </si>
  <si>
    <t>Jane</t>
  </si>
  <si>
    <t>Matière</t>
  </si>
  <si>
    <t>Coloris</t>
  </si>
  <si>
    <t>Cuir</t>
  </si>
  <si>
    <t>Noir</t>
  </si>
  <si>
    <t>Option Fabrication</t>
  </si>
  <si>
    <t>1 - Principale</t>
  </si>
  <si>
    <t>Grand sac + papier de soie + dust bag + rubban + sticker + card</t>
  </si>
  <si>
    <t>Tannerie Haas</t>
  </si>
  <si>
    <t>Fournisseur</t>
  </si>
  <si>
    <t>La Trouvaille</t>
  </si>
  <si>
    <t>Packaging - Livraison Client</t>
  </si>
  <si>
    <t>2 - Option 1</t>
  </si>
  <si>
    <t>Alcantara</t>
  </si>
  <si>
    <t>3 - Option 2</t>
  </si>
  <si>
    <t>4 - Option 3</t>
  </si>
  <si>
    <t>2 peaux</t>
  </si>
  <si>
    <t>1,5m microfibre</t>
  </si>
  <si>
    <t>Mando</t>
  </si>
  <si>
    <t>5 - Option 3</t>
  </si>
  <si>
    <t>6 - Option 3</t>
  </si>
  <si>
    <t>Victoire</t>
  </si>
  <si>
    <t>Frank</t>
  </si>
  <si>
    <t>5 - Option 4</t>
  </si>
  <si>
    <t>6 - Option 5</t>
  </si>
  <si>
    <t>Caviar</t>
  </si>
  <si>
    <t>Oldarra</t>
  </si>
  <si>
    <t>Barenia</t>
  </si>
  <si>
    <t>Taurillon</t>
  </si>
  <si>
    <t>Doublure - Animal</t>
  </si>
  <si>
    <t>Doublure - Type</t>
  </si>
  <si>
    <t>Matière Secondaire - Animal</t>
  </si>
  <si>
    <t>Matière Secondaire - Type</t>
  </si>
  <si>
    <t>Matière Secondaire - Couleur</t>
  </si>
  <si>
    <t>Matière Secondaire - Quantité</t>
  </si>
  <si>
    <t>Matière Secondaire - Fournisseur</t>
  </si>
  <si>
    <t>Bijouterie 1 - Coloris</t>
  </si>
  <si>
    <t>Bijouterie 1 - Quantité</t>
  </si>
  <si>
    <t>Bijouterie 1 - Fournisseur</t>
  </si>
  <si>
    <t>Bijouterie 2 - Coloris</t>
  </si>
  <si>
    <t>Bijouterie 2 - Quantité</t>
  </si>
  <si>
    <t>Bijouterie 2 - Fournisseur</t>
  </si>
  <si>
    <t>Bijouterie 3 - Coloris</t>
  </si>
  <si>
    <t>Bijouterie 3 - Quantité</t>
  </si>
  <si>
    <t>Bijouterie 3 - Fournisseur</t>
  </si>
  <si>
    <t>Lagun</t>
  </si>
  <si>
    <t>Handia</t>
  </si>
  <si>
    <t>7 - Option 6</t>
  </si>
  <si>
    <t>8 - Option 7</t>
  </si>
  <si>
    <t>9 - Option 8</t>
  </si>
  <si>
    <t>10 - Option 9</t>
  </si>
  <si>
    <t>11 - Option 10</t>
  </si>
  <si>
    <t>12 - Option 11</t>
  </si>
  <si>
    <t>La Trouvaille / Tannerie Haas</t>
  </si>
  <si>
    <t>Colette</t>
  </si>
  <si>
    <t>Atelier Secondaire</t>
  </si>
  <si>
    <t>Salpi Creation</t>
  </si>
  <si>
    <t>Laurent</t>
  </si>
  <si>
    <t>ID</t>
  </si>
  <si>
    <t>Veau</t>
  </si>
  <si>
    <t>Delvaux</t>
  </si>
  <si>
    <t>Cuir Exotique</t>
  </si>
  <si>
    <t>Agneau</t>
  </si>
  <si>
    <t>Bodin-Joyeux</t>
  </si>
  <si>
    <t>Option 2</t>
  </si>
  <si>
    <t>Option 1</t>
  </si>
  <si>
    <t>Olympe</t>
  </si>
  <si>
    <t>Avec Pochon</t>
  </si>
  <si>
    <t>Sans chaîne</t>
  </si>
  <si>
    <t>Sans Pochon</t>
  </si>
  <si>
    <t>Christian</t>
  </si>
  <si>
    <t>Hermès</t>
  </si>
  <si>
    <t>Pochon</t>
  </si>
  <si>
    <t>Avec chaîne</t>
  </si>
  <si>
    <t>Atelier Principal*</t>
  </si>
  <si>
    <t>Matière Principale - Animal*</t>
  </si>
  <si>
    <t>Matière Principale - Type*</t>
  </si>
  <si>
    <t>Matière Principale - Couleur*</t>
  </si>
  <si>
    <t>Matière Principale - Quantité*</t>
  </si>
  <si>
    <t>Matière Principale - Fournisseur*</t>
  </si>
  <si>
    <t>N</t>
  </si>
  <si>
    <t>Matière Secondaire - Y/N*</t>
  </si>
  <si>
    <t>Doublure - Y/N*</t>
  </si>
  <si>
    <t>Y</t>
  </si>
  <si>
    <t>Bijouterie 2 - Y/N*</t>
  </si>
  <si>
    <t>Bijouterie 1 - Y/N*</t>
  </si>
  <si>
    <t>Bijouterie 3 - Y/N*</t>
  </si>
  <si>
    <t>Rafaël</t>
  </si>
  <si>
    <t>Bijouterie 4 - Y/N*</t>
  </si>
  <si>
    <t>Bijouterie 4 - Coloris</t>
  </si>
  <si>
    <t>Bijouterie 4 - Quantité</t>
  </si>
  <si>
    <t>Bijouterie 4 - Fournisseur</t>
  </si>
  <si>
    <t>Strap avec mousqueton</t>
  </si>
  <si>
    <t>Chaîne avec mousqueton</t>
  </si>
  <si>
    <t>Matière Globale</t>
  </si>
  <si>
    <t>Non</t>
  </si>
  <si>
    <t>Yes</t>
  </si>
  <si>
    <t>Taille</t>
  </si>
  <si>
    <t>Moyen</t>
  </si>
  <si>
    <t>Doublure - Couleur</t>
  </si>
  <si>
    <t>Doublure - Quantité</t>
  </si>
  <si>
    <t>Doublure - Fournisseur</t>
  </si>
  <si>
    <t>Bijouterie 1 - Détails</t>
  </si>
  <si>
    <t>Bijouterie 2 - Détails</t>
  </si>
  <si>
    <t>Bijouterie 3 - Détails</t>
  </si>
  <si>
    <t>Bijouterie 4 - Détails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</si>
</sst>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_);[Red]\(#,##0.00\ &quot;€&quot;\)"/>
    <numFmt numFmtId="165" formatCode="_ * #,##0.00_)\ &quot;€&quot;_ ;_ * \(#,##0.00\)\ &quot;€&quot;_ ;_ * &quot;-&quot;??_)\ &quot;€&quot;_ ;_ @_ "/>
  </numFmts>
  <fonts count="10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0"/>
      <color theme="1"/>
      <name val="MicrosoftYaHei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0" fillId="0" borderId="4" xfId="0" applyBorder="1"/>
    <xf numFmtId="0" fontId="0" fillId="0" borderId="1" xfId="0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/>
    <xf numFmtId="0" fontId="0" fillId="2" borderId="7" xfId="0" applyFill="1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0" borderId="0" xfId="0" applyFont="1" applyAlignment="1">
      <alignment horizontal="center" vertical="center"/>
    </xf>
    <xf numFmtId="0" fontId="0" fillId="0" borderId="15" xfId="0" applyBorder="1"/>
    <xf numFmtId="0" fontId="0" fillId="3" borderId="0" xfId="0" applyFill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3" fontId="0" fillId="0" borderId="9" xfId="0" applyNumberFormat="1" applyBorder="1"/>
    <xf numFmtId="0" fontId="1" fillId="0" borderId="0" xfId="0" applyFont="1"/>
    <xf numFmtId="164" fontId="6" fillId="0" borderId="0" xfId="0" applyNumberFormat="1" applyFont="1"/>
    <xf numFmtId="164" fontId="7" fillId="0" borderId="0" xfId="0" applyNumberFormat="1" applyFont="1"/>
    <xf numFmtId="0" fontId="0" fillId="0" borderId="7" xfId="0" applyBorder="1" applyAlignment="1">
      <alignment wrapText="1"/>
    </xf>
    <xf numFmtId="0" fontId="1" fillId="2" borderId="0" xfId="0" applyFont="1" applyFill="1"/>
    <xf numFmtId="164" fontId="6" fillId="2" borderId="0" xfId="0" applyNumberFormat="1" applyFont="1" applyFill="1"/>
    <xf numFmtId="164" fontId="7" fillId="2" borderId="0" xfId="0" applyNumberFormat="1" applyFont="1" applyFill="1"/>
    <xf numFmtId="165" fontId="0" fillId="0" borderId="0" xfId="1" applyFont="1" applyBorder="1"/>
    <xf numFmtId="165" fontId="0" fillId="2" borderId="0" xfId="1" applyFont="1" applyFill="1" applyBorder="1"/>
    <xf numFmtId="0" fontId="2" fillId="0" borderId="17" xfId="0" applyFont="1" applyBorder="1" applyAlignment="1">
      <alignment horizontal="center" vertical="center"/>
    </xf>
    <xf numFmtId="165" fontId="0" fillId="0" borderId="7" xfId="1" applyFont="1" applyBorder="1"/>
    <xf numFmtId="164" fontId="7" fillId="0" borderId="7" xfId="0" applyNumberFormat="1" applyFont="1" applyBorder="1"/>
    <xf numFmtId="165" fontId="0" fillId="3" borderId="0" xfId="1" applyFont="1" applyFill="1" applyBorder="1"/>
    <xf numFmtId="0" fontId="0" fillId="0" borderId="18" xfId="0" applyBorder="1"/>
    <xf numFmtId="0" fontId="0" fillId="0" borderId="19" xfId="0" applyBorder="1"/>
    <xf numFmtId="0" fontId="2" fillId="0" borderId="20" xfId="0" applyFont="1" applyBorder="1"/>
    <xf numFmtId="0" fontId="0" fillId="0" borderId="17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0" xfId="0" applyNumberFormat="1"/>
    <xf numFmtId="165" fontId="0" fillId="0" borderId="8" xfId="1" applyFont="1" applyBorder="1"/>
    <xf numFmtId="165" fontId="0" fillId="0" borderId="0" xfId="0" applyNumberFormat="1"/>
    <xf numFmtId="0" fontId="4" fillId="0" borderId="0" xfId="0" applyFont="1"/>
    <xf numFmtId="3" fontId="0" fillId="0" borderId="7" xfId="0" applyNumberFormat="1" applyBorder="1"/>
    <xf numFmtId="0" fontId="0" fillId="0" borderId="25" xfId="0" applyBorder="1"/>
    <xf numFmtId="0" fontId="1" fillId="0" borderId="25" xfId="0" applyFont="1" applyBorder="1"/>
    <xf numFmtId="0" fontId="0" fillId="0" borderId="26" xfId="0" applyBorder="1"/>
    <xf numFmtId="0" fontId="0" fillId="2" borderId="3" xfId="0" applyFill="1" applyBorder="1"/>
    <xf numFmtId="0" fontId="2" fillId="2" borderId="3" xfId="0" applyFont="1" applyFill="1" applyBorder="1"/>
    <xf numFmtId="0" fontId="4" fillId="2" borderId="0" xfId="0" applyFont="1" applyFill="1"/>
    <xf numFmtId="3" fontId="0" fillId="2" borderId="9" xfId="0" applyNumberFormat="1" applyFill="1" applyBorder="1"/>
    <xf numFmtId="3" fontId="0" fillId="2" borderId="0" xfId="0" applyNumberFormat="1" applyFill="1"/>
    <xf numFmtId="0" fontId="0" fillId="2" borderId="4" xfId="0" applyFill="1" applyBorder="1"/>
    <xf numFmtId="0" fontId="0" fillId="2" borderId="2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7" xfId="0" applyFill="1" applyBorder="1"/>
    <xf numFmtId="0" fontId="0" fillId="2" borderId="21" xfId="0" applyFill="1" applyBorder="1"/>
    <xf numFmtId="165" fontId="0" fillId="2" borderId="8" xfId="1" applyFont="1" applyFill="1" applyBorder="1"/>
    <xf numFmtId="165" fontId="0" fillId="2" borderId="7" xfId="1" applyFont="1" applyFill="1" applyBorder="1"/>
    <xf numFmtId="164" fontId="7" fillId="2" borderId="7" xfId="0" applyNumberFormat="1" applyFont="1" applyFill="1" applyBorder="1"/>
    <xf numFmtId="0" fontId="0" fillId="0" borderId="0" xfId="0" applyAlignment="1">
      <alignment wrapText="1"/>
    </xf>
    <xf numFmtId="0" fontId="9" fillId="4" borderId="0" xfId="0" applyFont="1" applyFill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C421-4A33-411B-A15D-BC1B06A78286}">
  <dimension ref="A1:AS15"/>
  <sheetViews>
    <sheetView tabSelected="1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C35" sqref="C35"/>
    </sheetView>
  </sheetViews>
  <sheetFormatPr baseColWidth="10" defaultRowHeight="15.75"/>
  <cols>
    <col min="3" max="3" width="17.75" bestFit="1" customWidth="1"/>
    <col min="8" max="8" width="21.25" bestFit="1" customWidth="1"/>
    <col min="9" max="9" width="28.125" bestFit="1" customWidth="1"/>
  </cols>
  <sheetData>
    <row r="1" spans="1:45">
      <c r="A1" s="70"/>
      <c r="B1" s="70" t="s">
        <v>127</v>
      </c>
      <c r="C1" s="70" t="s">
        <v>222</v>
      </c>
      <c r="D1" s="70" t="s">
        <v>130</v>
      </c>
      <c r="E1" s="70" t="s">
        <v>225</v>
      </c>
      <c r="F1" s="70" t="s">
        <v>193</v>
      </c>
      <c r="G1" s="70" t="s">
        <v>192</v>
      </c>
      <c r="H1" s="70" t="s">
        <v>202</v>
      </c>
      <c r="I1" s="70" t="s">
        <v>203</v>
      </c>
      <c r="J1" s="70" t="s">
        <v>204</v>
      </c>
      <c r="K1" s="70" t="s">
        <v>205</v>
      </c>
      <c r="L1" s="70" t="s">
        <v>206</v>
      </c>
      <c r="M1" s="70" t="s">
        <v>207</v>
      </c>
      <c r="N1" s="70" t="s">
        <v>209</v>
      </c>
      <c r="O1" s="70" t="s">
        <v>159</v>
      </c>
      <c r="P1" s="70" t="s">
        <v>160</v>
      </c>
      <c r="Q1" s="70" t="s">
        <v>161</v>
      </c>
      <c r="R1" s="70" t="s">
        <v>162</v>
      </c>
      <c r="S1" s="70" t="s">
        <v>163</v>
      </c>
      <c r="T1" s="70" t="s">
        <v>210</v>
      </c>
      <c r="U1" s="70" t="s">
        <v>157</v>
      </c>
      <c r="V1" s="70" t="s">
        <v>158</v>
      </c>
      <c r="W1" s="70" t="s">
        <v>227</v>
      </c>
      <c r="X1" s="70" t="s">
        <v>228</v>
      </c>
      <c r="Y1" s="70" t="s">
        <v>137</v>
      </c>
      <c r="Z1" s="70" t="s">
        <v>213</v>
      </c>
      <c r="AA1" s="70" t="s">
        <v>230</v>
      </c>
      <c r="AB1" s="70" t="s">
        <v>164</v>
      </c>
      <c r="AC1" s="70" t="s">
        <v>165</v>
      </c>
      <c r="AD1" s="70" t="s">
        <v>166</v>
      </c>
      <c r="AE1" s="70" t="s">
        <v>212</v>
      </c>
      <c r="AF1" s="70" t="s">
        <v>231</v>
      </c>
      <c r="AG1" s="70" t="s">
        <v>167</v>
      </c>
      <c r="AH1" s="70" t="s">
        <v>168</v>
      </c>
      <c r="AI1" s="70" t="s">
        <v>169</v>
      </c>
      <c r="AJ1" s="70" t="s">
        <v>214</v>
      </c>
      <c r="AK1" s="70" t="s">
        <v>232</v>
      </c>
      <c r="AL1" s="70" t="s">
        <v>170</v>
      </c>
      <c r="AM1" s="70" t="s">
        <v>171</v>
      </c>
      <c r="AN1" s="70" t="s">
        <v>172</v>
      </c>
      <c r="AO1" s="70" t="s">
        <v>216</v>
      </c>
      <c r="AP1" s="70" t="s">
        <v>233</v>
      </c>
      <c r="AQ1" s="70" t="s">
        <v>217</v>
      </c>
      <c r="AR1" s="70" t="s">
        <v>218</v>
      </c>
      <c r="AS1" s="70" t="s">
        <v>219</v>
      </c>
    </row>
    <row r="2" spans="1:45">
      <c r="B2" t="s">
        <v>128</v>
      </c>
      <c r="C2" t="s">
        <v>131</v>
      </c>
      <c r="D2" t="s">
        <v>132</v>
      </c>
      <c r="E2" t="s">
        <v>226</v>
      </c>
      <c r="I2" t="s">
        <v>155</v>
      </c>
      <c r="J2" t="s">
        <v>153</v>
      </c>
      <c r="K2" t="s">
        <v>132</v>
      </c>
      <c r="L2">
        <v>1</v>
      </c>
      <c r="M2" t="s">
        <v>136</v>
      </c>
      <c r="N2" t="s">
        <v>223</v>
      </c>
      <c r="T2" t="s">
        <v>224</v>
      </c>
      <c r="U2" t="s">
        <v>24</v>
      </c>
      <c r="W2" t="s">
        <v>132</v>
      </c>
      <c r="X2" t="s">
        <v>144</v>
      </c>
      <c r="Y2" t="s">
        <v>138</v>
      </c>
      <c r="Z2" t="s">
        <v>211</v>
      </c>
      <c r="AA2" t="s">
        <v>80</v>
      </c>
      <c r="AC2">
        <v>2</v>
      </c>
      <c r="AD2" t="s">
        <v>23</v>
      </c>
      <c r="AE2" t="s">
        <v>211</v>
      </c>
      <c r="AF2" t="s">
        <v>34</v>
      </c>
      <c r="AH2">
        <v>2</v>
      </c>
      <c r="AI2" t="s">
        <v>37</v>
      </c>
      <c r="AJ2" t="s">
        <v>208</v>
      </c>
      <c r="AO2" t="s">
        <v>208</v>
      </c>
    </row>
    <row r="3" spans="1:45">
      <c r="B3" t="s">
        <v>149</v>
      </c>
      <c r="C3" t="s">
        <v>131</v>
      </c>
      <c r="D3" t="s">
        <v>132</v>
      </c>
      <c r="E3" t="s">
        <v>226</v>
      </c>
      <c r="H3" t="s">
        <v>150</v>
      </c>
      <c r="I3" t="s">
        <v>156</v>
      </c>
      <c r="J3" t="s">
        <v>154</v>
      </c>
      <c r="K3" t="s">
        <v>132</v>
      </c>
      <c r="M3" t="s">
        <v>50</v>
      </c>
      <c r="N3" t="s">
        <v>208</v>
      </c>
      <c r="T3" t="s">
        <v>211</v>
      </c>
      <c r="U3" t="s">
        <v>24</v>
      </c>
      <c r="W3" t="s">
        <v>132</v>
      </c>
      <c r="X3" t="s">
        <v>144</v>
      </c>
      <c r="Y3" t="s">
        <v>138</v>
      </c>
      <c r="Z3" t="s">
        <v>211</v>
      </c>
      <c r="AA3" t="s">
        <v>34</v>
      </c>
      <c r="AC3">
        <v>2</v>
      </c>
      <c r="AD3" t="s">
        <v>37</v>
      </c>
      <c r="AE3" t="s">
        <v>211</v>
      </c>
      <c r="AF3" t="s">
        <v>123</v>
      </c>
      <c r="AH3">
        <v>2</v>
      </c>
      <c r="AI3" t="s">
        <v>119</v>
      </c>
      <c r="AJ3" t="s">
        <v>208</v>
      </c>
      <c r="AO3" t="s">
        <v>208</v>
      </c>
    </row>
    <row r="4" spans="1:45">
      <c r="B4" t="s">
        <v>182</v>
      </c>
      <c r="C4" t="s">
        <v>131</v>
      </c>
      <c r="D4" t="s">
        <v>132</v>
      </c>
      <c r="E4" t="s">
        <v>226</v>
      </c>
      <c r="H4" t="s">
        <v>184</v>
      </c>
      <c r="I4" t="s">
        <v>187</v>
      </c>
      <c r="J4" t="s">
        <v>188</v>
      </c>
      <c r="K4" t="s">
        <v>132</v>
      </c>
      <c r="M4" t="s">
        <v>181</v>
      </c>
      <c r="N4" t="s">
        <v>208</v>
      </c>
      <c r="T4" t="s">
        <v>211</v>
      </c>
      <c r="U4" t="s">
        <v>24</v>
      </c>
      <c r="W4" t="s">
        <v>132</v>
      </c>
      <c r="X4" t="s">
        <v>46</v>
      </c>
      <c r="Y4" t="s">
        <v>138</v>
      </c>
      <c r="Z4" t="s">
        <v>211</v>
      </c>
      <c r="AA4" t="s">
        <v>53</v>
      </c>
      <c r="AC4">
        <v>2</v>
      </c>
      <c r="AD4" t="s">
        <v>37</v>
      </c>
      <c r="AE4" t="s">
        <v>211</v>
      </c>
      <c r="AF4" t="s">
        <v>75</v>
      </c>
      <c r="AH4">
        <v>4</v>
      </c>
      <c r="AI4" t="s">
        <v>77</v>
      </c>
      <c r="AJ4" t="s">
        <v>208</v>
      </c>
      <c r="AO4" t="s">
        <v>208</v>
      </c>
    </row>
    <row r="5" spans="1:45">
      <c r="B5" t="s">
        <v>182</v>
      </c>
      <c r="C5" t="s">
        <v>189</v>
      </c>
      <c r="D5" t="s">
        <v>132</v>
      </c>
      <c r="E5" t="s">
        <v>226</v>
      </c>
      <c r="H5" t="s">
        <v>185</v>
      </c>
      <c r="I5" t="s">
        <v>52</v>
      </c>
      <c r="L5">
        <v>1</v>
      </c>
      <c r="M5" t="s">
        <v>138</v>
      </c>
      <c r="N5" t="s">
        <v>208</v>
      </c>
      <c r="T5" t="s">
        <v>211</v>
      </c>
      <c r="U5" t="s">
        <v>190</v>
      </c>
      <c r="V5" t="s">
        <v>191</v>
      </c>
      <c r="W5" t="s">
        <v>132</v>
      </c>
      <c r="X5" t="s">
        <v>46</v>
      </c>
      <c r="Y5" t="s">
        <v>138</v>
      </c>
      <c r="Z5" t="s">
        <v>211</v>
      </c>
      <c r="AA5" t="s">
        <v>53</v>
      </c>
      <c r="AC5">
        <v>2</v>
      </c>
      <c r="AD5" t="s">
        <v>37</v>
      </c>
      <c r="AE5" t="s">
        <v>211</v>
      </c>
      <c r="AF5" t="s">
        <v>75</v>
      </c>
      <c r="AH5">
        <v>4</v>
      </c>
      <c r="AI5" t="s">
        <v>77</v>
      </c>
      <c r="AJ5" t="s">
        <v>208</v>
      </c>
      <c r="AO5" t="s">
        <v>208</v>
      </c>
    </row>
    <row r="6" spans="1:45">
      <c r="B6" t="s">
        <v>194</v>
      </c>
      <c r="C6" t="s">
        <v>131</v>
      </c>
      <c r="D6" t="s">
        <v>132</v>
      </c>
      <c r="E6" t="s">
        <v>226</v>
      </c>
      <c r="F6" t="s">
        <v>197</v>
      </c>
      <c r="G6" t="s">
        <v>196</v>
      </c>
      <c r="H6" t="s">
        <v>198</v>
      </c>
      <c r="I6" t="s">
        <v>187</v>
      </c>
      <c r="J6" t="s">
        <v>199</v>
      </c>
      <c r="K6" t="s">
        <v>132</v>
      </c>
      <c r="M6" t="s">
        <v>136</v>
      </c>
      <c r="N6" t="s">
        <v>208</v>
      </c>
      <c r="T6" t="s">
        <v>208</v>
      </c>
      <c r="Z6" t="s">
        <v>211</v>
      </c>
      <c r="AA6" t="s">
        <v>79</v>
      </c>
      <c r="AC6">
        <v>2</v>
      </c>
      <c r="AD6" t="s">
        <v>23</v>
      </c>
      <c r="AE6" t="s">
        <v>211</v>
      </c>
      <c r="AF6" t="s">
        <v>74</v>
      </c>
      <c r="AH6">
        <v>2</v>
      </c>
      <c r="AI6" t="s">
        <v>77</v>
      </c>
      <c r="AJ6" t="s">
        <v>208</v>
      </c>
      <c r="AO6" t="s">
        <v>208</v>
      </c>
    </row>
    <row r="7" spans="1:45">
      <c r="B7" t="s">
        <v>200</v>
      </c>
      <c r="C7" t="s">
        <v>131</v>
      </c>
      <c r="D7" t="s">
        <v>132</v>
      </c>
      <c r="E7" t="s">
        <v>226</v>
      </c>
      <c r="G7" t="s">
        <v>196</v>
      </c>
      <c r="H7" t="s">
        <v>81</v>
      </c>
      <c r="I7" t="s">
        <v>190</v>
      </c>
      <c r="J7" t="s">
        <v>191</v>
      </c>
      <c r="K7" t="s">
        <v>132</v>
      </c>
      <c r="L7">
        <v>1</v>
      </c>
      <c r="M7" t="s">
        <v>138</v>
      </c>
      <c r="N7" t="s">
        <v>208</v>
      </c>
      <c r="T7" t="s">
        <v>208</v>
      </c>
      <c r="Z7" t="s">
        <v>211</v>
      </c>
      <c r="AA7" t="s">
        <v>84</v>
      </c>
      <c r="AC7">
        <v>2</v>
      </c>
      <c r="AD7" t="s">
        <v>23</v>
      </c>
      <c r="AE7" t="s">
        <v>211</v>
      </c>
      <c r="AF7" t="s">
        <v>124</v>
      </c>
      <c r="AH7">
        <v>4</v>
      </c>
      <c r="AI7" t="s">
        <v>23</v>
      </c>
      <c r="AJ7" t="s">
        <v>208</v>
      </c>
      <c r="AO7" t="s">
        <v>208</v>
      </c>
    </row>
    <row r="8" spans="1:45">
      <c r="B8" t="s">
        <v>200</v>
      </c>
      <c r="C8" t="s">
        <v>131</v>
      </c>
      <c r="D8" t="s">
        <v>132</v>
      </c>
      <c r="E8" t="s">
        <v>226</v>
      </c>
      <c r="G8" t="s">
        <v>201</v>
      </c>
      <c r="H8" t="s">
        <v>81</v>
      </c>
      <c r="I8" t="s">
        <v>190</v>
      </c>
      <c r="J8" t="s">
        <v>191</v>
      </c>
      <c r="K8" t="s">
        <v>132</v>
      </c>
      <c r="L8">
        <v>1</v>
      </c>
      <c r="M8" t="s">
        <v>138</v>
      </c>
      <c r="N8" t="s">
        <v>208</v>
      </c>
      <c r="T8" t="s">
        <v>208</v>
      </c>
      <c r="Z8" t="s">
        <v>211</v>
      </c>
      <c r="AA8" t="s">
        <v>84</v>
      </c>
      <c r="AC8">
        <v>2</v>
      </c>
      <c r="AD8" t="s">
        <v>23</v>
      </c>
      <c r="AE8" t="s">
        <v>211</v>
      </c>
      <c r="AF8" t="s">
        <v>124</v>
      </c>
      <c r="AH8">
        <v>4</v>
      </c>
      <c r="AI8" t="s">
        <v>23</v>
      </c>
      <c r="AJ8" t="s">
        <v>211</v>
      </c>
      <c r="AK8" t="s">
        <v>89</v>
      </c>
      <c r="AM8">
        <v>1</v>
      </c>
      <c r="AN8" s="49" t="s">
        <v>87</v>
      </c>
      <c r="AO8" t="s">
        <v>208</v>
      </c>
      <c r="AP8" s="49"/>
      <c r="AQ8" s="49"/>
      <c r="AR8" s="49"/>
      <c r="AS8" s="49"/>
    </row>
    <row r="9" spans="1:45">
      <c r="B9" t="s">
        <v>194</v>
      </c>
      <c r="C9" t="s">
        <v>131</v>
      </c>
      <c r="D9" t="s">
        <v>132</v>
      </c>
      <c r="E9" t="s">
        <v>226</v>
      </c>
      <c r="F9" t="s">
        <v>195</v>
      </c>
      <c r="G9" t="s">
        <v>201</v>
      </c>
      <c r="H9" t="s">
        <v>198</v>
      </c>
      <c r="I9" t="s">
        <v>187</v>
      </c>
      <c r="J9" t="s">
        <v>199</v>
      </c>
      <c r="K9" t="s">
        <v>132</v>
      </c>
      <c r="M9" t="s">
        <v>136</v>
      </c>
      <c r="N9" t="s">
        <v>211</v>
      </c>
      <c r="O9" t="s">
        <v>190</v>
      </c>
      <c r="P9" t="s">
        <v>191</v>
      </c>
      <c r="Q9" t="s">
        <v>132</v>
      </c>
      <c r="R9">
        <v>1</v>
      </c>
      <c r="S9" t="s">
        <v>138</v>
      </c>
      <c r="T9" t="s">
        <v>208</v>
      </c>
      <c r="Z9" t="s">
        <v>211</v>
      </c>
      <c r="AA9" t="s">
        <v>84</v>
      </c>
      <c r="AC9">
        <v>2</v>
      </c>
      <c r="AD9" t="s">
        <v>23</v>
      </c>
      <c r="AE9" t="s">
        <v>211</v>
      </c>
      <c r="AF9" t="s">
        <v>124</v>
      </c>
      <c r="AH9">
        <v>4</v>
      </c>
      <c r="AI9" t="s">
        <v>23</v>
      </c>
      <c r="AJ9" t="s">
        <v>211</v>
      </c>
      <c r="AK9" t="s">
        <v>89</v>
      </c>
      <c r="AM9">
        <v>1</v>
      </c>
      <c r="AN9" s="49" t="s">
        <v>87</v>
      </c>
      <c r="AO9" t="s">
        <v>208</v>
      </c>
      <c r="AP9" s="49"/>
      <c r="AQ9" s="49"/>
      <c r="AR9" s="49"/>
      <c r="AS9" s="49"/>
    </row>
    <row r="10" spans="1:45">
      <c r="B10" t="s">
        <v>215</v>
      </c>
      <c r="C10" t="s">
        <v>131</v>
      </c>
      <c r="D10" t="s">
        <v>132</v>
      </c>
      <c r="E10" t="s">
        <v>226</v>
      </c>
      <c r="G10" t="s">
        <v>220</v>
      </c>
      <c r="H10" t="s">
        <v>81</v>
      </c>
      <c r="J10" t="s">
        <v>13</v>
      </c>
      <c r="K10" t="s">
        <v>132</v>
      </c>
      <c r="L10">
        <v>1</v>
      </c>
      <c r="M10" t="s">
        <v>181</v>
      </c>
      <c r="N10" t="s">
        <v>208</v>
      </c>
      <c r="T10" t="s">
        <v>211</v>
      </c>
      <c r="U10" t="s">
        <v>190</v>
      </c>
      <c r="V10" t="s">
        <v>191</v>
      </c>
      <c r="W10" t="s">
        <v>132</v>
      </c>
      <c r="X10">
        <v>1</v>
      </c>
      <c r="Y10" t="s">
        <v>138</v>
      </c>
      <c r="Z10" t="s">
        <v>211</v>
      </c>
      <c r="AA10" t="s">
        <v>79</v>
      </c>
      <c r="AC10">
        <v>2</v>
      </c>
      <c r="AD10" t="s">
        <v>23</v>
      </c>
      <c r="AE10" t="s">
        <v>211</v>
      </c>
      <c r="AF10" t="s">
        <v>53</v>
      </c>
      <c r="AH10">
        <v>2</v>
      </c>
      <c r="AI10" t="s">
        <v>37</v>
      </c>
      <c r="AJ10" t="s">
        <v>211</v>
      </c>
      <c r="AK10" t="s">
        <v>94</v>
      </c>
      <c r="AM10">
        <v>2</v>
      </c>
      <c r="AN10" s="49" t="s">
        <v>87</v>
      </c>
      <c r="AO10" t="s">
        <v>208</v>
      </c>
      <c r="AS10" s="49"/>
    </row>
    <row r="11" spans="1:45">
      <c r="B11" t="s">
        <v>215</v>
      </c>
      <c r="C11" t="s">
        <v>131</v>
      </c>
      <c r="D11" t="s">
        <v>132</v>
      </c>
      <c r="E11" t="s">
        <v>226</v>
      </c>
      <c r="G11" t="s">
        <v>221</v>
      </c>
      <c r="H11" t="s">
        <v>81</v>
      </c>
      <c r="J11" t="s">
        <v>13</v>
      </c>
      <c r="K11" t="s">
        <v>132</v>
      </c>
      <c r="L11">
        <v>1</v>
      </c>
      <c r="M11" t="s">
        <v>181</v>
      </c>
      <c r="N11" t="s">
        <v>208</v>
      </c>
      <c r="T11" t="s">
        <v>211</v>
      </c>
      <c r="U11" t="s">
        <v>190</v>
      </c>
      <c r="V11" t="s">
        <v>191</v>
      </c>
      <c r="W11" t="s">
        <v>132</v>
      </c>
      <c r="X11">
        <v>1</v>
      </c>
      <c r="Y11" t="s">
        <v>138</v>
      </c>
      <c r="Z11" t="s">
        <v>211</v>
      </c>
      <c r="AA11" t="s">
        <v>79</v>
      </c>
      <c r="AC11">
        <v>2</v>
      </c>
      <c r="AD11" t="s">
        <v>23</v>
      </c>
      <c r="AE11" t="s">
        <v>211</v>
      </c>
      <c r="AF11" t="s">
        <v>53</v>
      </c>
      <c r="AH11">
        <v>2</v>
      </c>
      <c r="AI11" t="s">
        <v>37</v>
      </c>
      <c r="AJ11" t="s">
        <v>208</v>
      </c>
      <c r="AN11" s="49"/>
      <c r="AO11" t="s">
        <v>211</v>
      </c>
      <c r="AP11" t="s">
        <v>89</v>
      </c>
      <c r="AR11">
        <v>1</v>
      </c>
      <c r="AS11" s="49" t="s">
        <v>87</v>
      </c>
    </row>
    <row r="12" spans="1:45">
      <c r="B12" t="s">
        <v>215</v>
      </c>
      <c r="C12" t="s">
        <v>189</v>
      </c>
      <c r="D12" t="s">
        <v>132</v>
      </c>
      <c r="E12" t="s">
        <v>226</v>
      </c>
      <c r="G12" t="s">
        <v>220</v>
      </c>
      <c r="H12" t="s">
        <v>81</v>
      </c>
      <c r="I12" t="s">
        <v>52</v>
      </c>
      <c r="L12">
        <v>1</v>
      </c>
      <c r="M12" t="s">
        <v>181</v>
      </c>
      <c r="N12" t="s">
        <v>208</v>
      </c>
      <c r="T12" t="s">
        <v>211</v>
      </c>
      <c r="U12" t="s">
        <v>190</v>
      </c>
      <c r="V12" t="s">
        <v>191</v>
      </c>
      <c r="W12" t="s">
        <v>132</v>
      </c>
      <c r="X12">
        <v>1</v>
      </c>
      <c r="Y12" t="s">
        <v>138</v>
      </c>
      <c r="Z12" t="s">
        <v>211</v>
      </c>
      <c r="AA12" t="s">
        <v>79</v>
      </c>
      <c r="AC12">
        <v>2</v>
      </c>
      <c r="AD12" t="s">
        <v>23</v>
      </c>
      <c r="AE12" t="s">
        <v>211</v>
      </c>
      <c r="AF12" t="s">
        <v>53</v>
      </c>
      <c r="AH12">
        <v>2</v>
      </c>
      <c r="AI12" t="s">
        <v>37</v>
      </c>
      <c r="AJ12" t="s">
        <v>211</v>
      </c>
      <c r="AK12" t="s">
        <v>94</v>
      </c>
      <c r="AM12">
        <v>2</v>
      </c>
      <c r="AN12" s="49" t="s">
        <v>87</v>
      </c>
      <c r="AO12" t="s">
        <v>208</v>
      </c>
      <c r="AS12" s="49"/>
    </row>
    <row r="13" spans="1:45">
      <c r="B13" t="s">
        <v>215</v>
      </c>
      <c r="C13" t="s">
        <v>189</v>
      </c>
      <c r="D13" t="s">
        <v>132</v>
      </c>
      <c r="E13" t="s">
        <v>226</v>
      </c>
      <c r="G13" t="s">
        <v>221</v>
      </c>
      <c r="H13" t="s">
        <v>81</v>
      </c>
      <c r="I13" t="s">
        <v>52</v>
      </c>
      <c r="L13">
        <v>1</v>
      </c>
      <c r="M13" t="s">
        <v>181</v>
      </c>
      <c r="N13" t="s">
        <v>208</v>
      </c>
      <c r="T13" t="s">
        <v>211</v>
      </c>
      <c r="U13" t="s">
        <v>190</v>
      </c>
      <c r="V13" t="s">
        <v>191</v>
      </c>
      <c r="W13" t="s">
        <v>132</v>
      </c>
      <c r="X13">
        <v>1</v>
      </c>
      <c r="Y13" t="s">
        <v>138</v>
      </c>
      <c r="Z13" t="s">
        <v>211</v>
      </c>
      <c r="AA13" t="s">
        <v>79</v>
      </c>
      <c r="AC13">
        <v>2</v>
      </c>
      <c r="AD13" t="s">
        <v>23</v>
      </c>
      <c r="AE13" t="s">
        <v>211</v>
      </c>
      <c r="AF13" t="s">
        <v>53</v>
      </c>
      <c r="AH13">
        <v>2</v>
      </c>
      <c r="AI13" t="s">
        <v>37</v>
      </c>
      <c r="AJ13" t="s">
        <v>208</v>
      </c>
      <c r="AN13" s="49"/>
      <c r="AO13" t="s">
        <v>211</v>
      </c>
      <c r="AP13" t="s">
        <v>89</v>
      </c>
      <c r="AR13">
        <v>1</v>
      </c>
      <c r="AS13" s="49" t="s">
        <v>87</v>
      </c>
    </row>
    <row r="14" spans="1:45">
      <c r="B14" t="s">
        <v>194</v>
      </c>
      <c r="C14" t="s">
        <v>131</v>
      </c>
      <c r="D14" t="s">
        <v>132</v>
      </c>
      <c r="E14" t="s">
        <v>226</v>
      </c>
      <c r="F14" t="s">
        <v>197</v>
      </c>
      <c r="G14" t="s">
        <v>201</v>
      </c>
      <c r="H14" t="s">
        <v>198</v>
      </c>
      <c r="I14" t="s">
        <v>187</v>
      </c>
      <c r="J14" t="s">
        <v>199</v>
      </c>
      <c r="K14" t="s">
        <v>132</v>
      </c>
      <c r="M14" t="s">
        <v>136</v>
      </c>
      <c r="N14" t="s">
        <v>208</v>
      </c>
      <c r="Z14" t="s">
        <v>211</v>
      </c>
      <c r="AA14" t="s">
        <v>84</v>
      </c>
      <c r="AC14">
        <v>2</v>
      </c>
      <c r="AD14" t="s">
        <v>23</v>
      </c>
      <c r="AE14" t="s">
        <v>211</v>
      </c>
      <c r="AF14" t="s">
        <v>124</v>
      </c>
      <c r="AH14">
        <v>4</v>
      </c>
      <c r="AI14" t="s">
        <v>23</v>
      </c>
      <c r="AJ14" t="s">
        <v>211</v>
      </c>
      <c r="AK14" t="s">
        <v>89</v>
      </c>
      <c r="AM14">
        <v>1</v>
      </c>
      <c r="AN14" s="49" t="s">
        <v>87</v>
      </c>
      <c r="AO14" t="s">
        <v>208</v>
      </c>
    </row>
    <row r="15" spans="1:45">
      <c r="B15" t="s">
        <v>194</v>
      </c>
      <c r="C15" t="s">
        <v>131</v>
      </c>
      <c r="D15" t="s">
        <v>132</v>
      </c>
      <c r="E15" t="s">
        <v>226</v>
      </c>
      <c r="F15" t="s">
        <v>195</v>
      </c>
      <c r="G15" t="s">
        <v>196</v>
      </c>
      <c r="H15" t="s">
        <v>198</v>
      </c>
      <c r="I15" t="s">
        <v>187</v>
      </c>
      <c r="J15" t="s">
        <v>199</v>
      </c>
      <c r="K15" t="s">
        <v>132</v>
      </c>
      <c r="M15" t="s">
        <v>136</v>
      </c>
      <c r="N15" t="s">
        <v>211</v>
      </c>
      <c r="O15" t="s">
        <v>190</v>
      </c>
      <c r="P15" t="s">
        <v>191</v>
      </c>
      <c r="Q15" t="s">
        <v>132</v>
      </c>
      <c r="R15">
        <v>1</v>
      </c>
      <c r="S15" t="s">
        <v>138</v>
      </c>
      <c r="T15" t="s">
        <v>208</v>
      </c>
      <c r="Z15" t="s">
        <v>211</v>
      </c>
      <c r="AA15" t="s">
        <v>79</v>
      </c>
      <c r="AC15">
        <v>2</v>
      </c>
      <c r="AD15" t="s">
        <v>23</v>
      </c>
      <c r="AE15" t="s">
        <v>211</v>
      </c>
      <c r="AF15" t="s">
        <v>74</v>
      </c>
      <c r="AH15">
        <v>2</v>
      </c>
      <c r="AI15" t="s">
        <v>77</v>
      </c>
      <c r="AJ15" t="s">
        <v>208</v>
      </c>
      <c r="AO15" t="s">
        <v>208</v>
      </c>
    </row>
  </sheetData>
  <autoFilter ref="A1:AT15" xr:uid="{3801C421-4A33-411B-A15D-BC1B06A7828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D6E4-E8E1-4D95-ABD7-0D7689029AD2}">
  <dimension ref="A1:AV29"/>
  <sheetViews>
    <sheetView workbookViewId="0">
      <pane xSplit="7" ySplit="1" topLeftCell="H2" activePane="bottomRight" state="frozen"/>
      <selection pane="topRight" activeCell="G1" sqref="G1"/>
      <selection pane="bottomLeft" activeCell="A2" sqref="A2"/>
      <selection pane="bottomRight" activeCell="I16" sqref="I16"/>
    </sheetView>
  </sheetViews>
  <sheetFormatPr baseColWidth="10" defaultRowHeight="15.75"/>
  <cols>
    <col min="2" max="2" width="13" customWidth="1"/>
    <col min="3" max="3" width="11.625" bestFit="1" customWidth="1"/>
    <col min="7" max="7" width="14.25" customWidth="1"/>
    <col min="8" max="8" width="18.25" customWidth="1"/>
    <col min="9" max="9" width="16" bestFit="1" customWidth="1"/>
    <col min="10" max="10" width="16.125" bestFit="1" customWidth="1"/>
    <col min="11" max="11" width="23.125" bestFit="1" customWidth="1"/>
    <col min="12" max="12" width="21.125" bestFit="1" customWidth="1"/>
    <col min="13" max="13" width="23.75" bestFit="1" customWidth="1"/>
    <col min="14" max="14" width="24.5" bestFit="1" customWidth="1"/>
    <col min="15" max="15" width="25.375" bestFit="1" customWidth="1"/>
    <col min="16" max="16" width="22.375" bestFit="1" customWidth="1"/>
    <col min="17" max="22" width="25.375" customWidth="1"/>
    <col min="23" max="23" width="28.125" bestFit="1" customWidth="1"/>
    <col min="24" max="24" width="28.125" customWidth="1"/>
    <col min="25" max="25" width="15.75" customWidth="1"/>
    <col min="26" max="26" width="15.75" bestFit="1" customWidth="1"/>
    <col min="27" max="28" width="15.75" customWidth="1"/>
    <col min="29" max="29" width="36.875" bestFit="1" customWidth="1"/>
    <col min="30" max="30" width="17.375" bestFit="1" customWidth="1"/>
    <col min="31" max="31" width="18.75" bestFit="1" customWidth="1"/>
    <col min="32" max="32" width="21.25" bestFit="1" customWidth="1"/>
    <col min="33" max="33" width="15.5" bestFit="1" customWidth="1"/>
    <col min="34" max="34" width="31.75" bestFit="1" customWidth="1"/>
    <col min="35" max="35" width="17.375" bestFit="1" customWidth="1"/>
    <col min="36" max="36" width="18.75" bestFit="1" customWidth="1"/>
    <col min="37" max="37" width="21.25" bestFit="1" customWidth="1"/>
    <col min="38" max="38" width="15.5" bestFit="1" customWidth="1"/>
    <col min="39" max="39" width="10.125" bestFit="1" customWidth="1"/>
    <col min="40" max="40" width="17.375" bestFit="1" customWidth="1"/>
    <col min="41" max="41" width="18.75" bestFit="1" customWidth="1"/>
    <col min="42" max="42" width="28.125" bestFit="1" customWidth="1"/>
    <col min="43" max="47" width="28.125" customWidth="1"/>
    <col min="48" max="48" width="51.375" bestFit="1" customWidth="1"/>
  </cols>
  <sheetData>
    <row r="1" spans="1:48">
      <c r="A1" s="70" t="s">
        <v>186</v>
      </c>
      <c r="B1" s="70" t="s">
        <v>127</v>
      </c>
      <c r="C1" s="70" t="s">
        <v>129</v>
      </c>
      <c r="D1" s="70" t="s">
        <v>130</v>
      </c>
      <c r="E1" s="70" t="s">
        <v>225</v>
      </c>
      <c r="F1" s="70" t="s">
        <v>193</v>
      </c>
      <c r="G1" s="70" t="s">
        <v>192</v>
      </c>
      <c r="H1" s="70" t="s">
        <v>202</v>
      </c>
      <c r="I1" s="70" t="s">
        <v>183</v>
      </c>
      <c r="J1" s="70" t="s">
        <v>133</v>
      </c>
      <c r="K1" s="70" t="s">
        <v>203</v>
      </c>
      <c r="L1" s="70" t="s">
        <v>204</v>
      </c>
      <c r="M1" s="70" t="s">
        <v>205</v>
      </c>
      <c r="N1" s="70" t="s">
        <v>206</v>
      </c>
      <c r="O1" s="70" t="s">
        <v>207</v>
      </c>
      <c r="P1" s="70" t="s">
        <v>209</v>
      </c>
      <c r="Q1" s="70" t="s">
        <v>159</v>
      </c>
      <c r="R1" s="70" t="s">
        <v>160</v>
      </c>
      <c r="S1" s="70" t="s">
        <v>161</v>
      </c>
      <c r="T1" s="70" t="s">
        <v>162</v>
      </c>
      <c r="U1" s="70" t="s">
        <v>163</v>
      </c>
      <c r="V1" s="70" t="s">
        <v>210</v>
      </c>
      <c r="W1" s="70" t="s">
        <v>157</v>
      </c>
      <c r="X1" s="70" t="s">
        <v>158</v>
      </c>
      <c r="Y1" s="70" t="s">
        <v>227</v>
      </c>
      <c r="Z1" s="70" t="s">
        <v>228</v>
      </c>
      <c r="AA1" s="70" t="s">
        <v>229</v>
      </c>
      <c r="AB1" s="70" t="s">
        <v>213</v>
      </c>
      <c r="AC1" s="70" t="s">
        <v>230</v>
      </c>
      <c r="AD1" s="70" t="s">
        <v>164</v>
      </c>
      <c r="AE1" s="70" t="s">
        <v>165</v>
      </c>
      <c r="AF1" s="70" t="s">
        <v>166</v>
      </c>
      <c r="AG1" s="70" t="s">
        <v>212</v>
      </c>
      <c r="AH1" s="70" t="s">
        <v>231</v>
      </c>
      <c r="AI1" s="70" t="s">
        <v>167</v>
      </c>
      <c r="AJ1" s="70" t="s">
        <v>168</v>
      </c>
      <c r="AK1" s="70" t="s">
        <v>169</v>
      </c>
      <c r="AL1" s="70" t="s">
        <v>214</v>
      </c>
      <c r="AM1" s="70" t="s">
        <v>232</v>
      </c>
      <c r="AN1" s="70" t="s">
        <v>170</v>
      </c>
      <c r="AO1" s="70" t="s">
        <v>171</v>
      </c>
      <c r="AP1" s="70" t="s">
        <v>172</v>
      </c>
      <c r="AQ1" s="70" t="s">
        <v>216</v>
      </c>
      <c r="AR1" s="70" t="s">
        <v>233</v>
      </c>
      <c r="AS1" s="70" t="s">
        <v>217</v>
      </c>
      <c r="AT1" s="70" t="s">
        <v>218</v>
      </c>
      <c r="AU1" s="70" t="s">
        <v>219</v>
      </c>
      <c r="AV1" s="70" t="s">
        <v>139</v>
      </c>
    </row>
    <row r="2" spans="1:48">
      <c r="B2" t="s">
        <v>128</v>
      </c>
      <c r="C2" t="s">
        <v>131</v>
      </c>
      <c r="D2" t="s">
        <v>132</v>
      </c>
      <c r="E2" t="s">
        <v>226</v>
      </c>
      <c r="J2" t="s">
        <v>134</v>
      </c>
      <c r="K2" t="s">
        <v>155</v>
      </c>
      <c r="L2" t="s">
        <v>153</v>
      </c>
      <c r="M2" t="s">
        <v>132</v>
      </c>
      <c r="N2">
        <v>1</v>
      </c>
      <c r="O2" t="s">
        <v>136</v>
      </c>
      <c r="P2" t="s">
        <v>208</v>
      </c>
      <c r="V2" t="s">
        <v>211</v>
      </c>
      <c r="W2" t="s">
        <v>24</v>
      </c>
      <c r="Y2" t="s">
        <v>132</v>
      </c>
      <c r="Z2" t="s">
        <v>144</v>
      </c>
      <c r="AA2" t="s">
        <v>138</v>
      </c>
      <c r="AB2" t="s">
        <v>211</v>
      </c>
      <c r="AC2" t="s">
        <v>80</v>
      </c>
      <c r="AE2">
        <v>2</v>
      </c>
      <c r="AF2" t="s">
        <v>23</v>
      </c>
      <c r="AG2" t="s">
        <v>211</v>
      </c>
      <c r="AH2" t="s">
        <v>34</v>
      </c>
      <c r="AJ2">
        <v>2</v>
      </c>
      <c r="AK2" t="s">
        <v>37</v>
      </c>
      <c r="AL2" t="s">
        <v>208</v>
      </c>
      <c r="AQ2" t="s">
        <v>208</v>
      </c>
      <c r="AV2" s="69" t="s">
        <v>135</v>
      </c>
    </row>
    <row r="3" spans="1:48">
      <c r="B3" t="s">
        <v>128</v>
      </c>
      <c r="C3" t="s">
        <v>131</v>
      </c>
      <c r="D3" t="s">
        <v>132</v>
      </c>
      <c r="E3" t="s">
        <v>226</v>
      </c>
      <c r="J3" t="s">
        <v>140</v>
      </c>
      <c r="K3" t="s">
        <v>155</v>
      </c>
      <c r="L3" t="s">
        <v>153</v>
      </c>
      <c r="M3" t="s">
        <v>132</v>
      </c>
      <c r="N3">
        <v>1</v>
      </c>
      <c r="O3" t="s">
        <v>136</v>
      </c>
      <c r="P3" t="s">
        <v>208</v>
      </c>
      <c r="V3" t="s">
        <v>211</v>
      </c>
      <c r="W3" t="s">
        <v>141</v>
      </c>
      <c r="Y3" t="s">
        <v>132</v>
      </c>
      <c r="Z3" t="s">
        <v>145</v>
      </c>
      <c r="AA3" t="s">
        <v>17</v>
      </c>
      <c r="AB3" t="s">
        <v>211</v>
      </c>
      <c r="AC3" t="s">
        <v>80</v>
      </c>
      <c r="AE3">
        <v>2</v>
      </c>
      <c r="AF3" t="s">
        <v>23</v>
      </c>
      <c r="AG3" t="s">
        <v>211</v>
      </c>
      <c r="AH3" t="s">
        <v>34</v>
      </c>
      <c r="AJ3">
        <v>2</v>
      </c>
      <c r="AK3" t="s">
        <v>37</v>
      </c>
      <c r="AL3" t="s">
        <v>208</v>
      </c>
      <c r="AQ3" t="s">
        <v>208</v>
      </c>
      <c r="AV3" s="69" t="s">
        <v>135</v>
      </c>
    </row>
    <row r="4" spans="1:48">
      <c r="B4" t="s">
        <v>128</v>
      </c>
      <c r="C4" t="s">
        <v>131</v>
      </c>
      <c r="D4" t="s">
        <v>132</v>
      </c>
      <c r="E4" t="s">
        <v>226</v>
      </c>
      <c r="J4" t="s">
        <v>142</v>
      </c>
      <c r="K4" t="s">
        <v>155</v>
      </c>
      <c r="L4" t="s">
        <v>153</v>
      </c>
      <c r="M4" t="s">
        <v>132</v>
      </c>
      <c r="N4">
        <v>1</v>
      </c>
      <c r="O4" t="s">
        <v>136</v>
      </c>
      <c r="P4" t="s">
        <v>208</v>
      </c>
      <c r="V4" t="s">
        <v>211</v>
      </c>
      <c r="W4" t="s">
        <v>25</v>
      </c>
      <c r="Y4" t="s">
        <v>132</v>
      </c>
      <c r="Z4" t="s">
        <v>144</v>
      </c>
      <c r="AA4" t="s">
        <v>146</v>
      </c>
      <c r="AB4" t="s">
        <v>211</v>
      </c>
      <c r="AC4" t="s">
        <v>80</v>
      </c>
      <c r="AE4">
        <v>2</v>
      </c>
      <c r="AF4" t="s">
        <v>23</v>
      </c>
      <c r="AG4" t="s">
        <v>211</v>
      </c>
      <c r="AH4" t="s">
        <v>34</v>
      </c>
      <c r="AJ4">
        <v>2</v>
      </c>
      <c r="AK4" t="s">
        <v>37</v>
      </c>
      <c r="AL4" t="s">
        <v>208</v>
      </c>
      <c r="AQ4" t="s">
        <v>208</v>
      </c>
      <c r="AV4" s="69" t="s">
        <v>135</v>
      </c>
    </row>
    <row r="5" spans="1:48">
      <c r="B5" t="s">
        <v>128</v>
      </c>
      <c r="C5" t="s">
        <v>131</v>
      </c>
      <c r="D5" t="s">
        <v>132</v>
      </c>
      <c r="E5" t="s">
        <v>226</v>
      </c>
      <c r="J5" t="s">
        <v>143</v>
      </c>
      <c r="L5" t="s">
        <v>13</v>
      </c>
      <c r="M5" t="s">
        <v>132</v>
      </c>
      <c r="N5">
        <v>1</v>
      </c>
      <c r="O5" t="s">
        <v>138</v>
      </c>
      <c r="P5" t="s">
        <v>208</v>
      </c>
      <c r="V5" t="s">
        <v>211</v>
      </c>
      <c r="W5" t="s">
        <v>24</v>
      </c>
      <c r="Y5" t="s">
        <v>132</v>
      </c>
      <c r="Z5" t="s">
        <v>144</v>
      </c>
      <c r="AA5" t="s">
        <v>138</v>
      </c>
      <c r="AB5" t="s">
        <v>211</v>
      </c>
      <c r="AC5" t="s">
        <v>80</v>
      </c>
      <c r="AE5">
        <v>2</v>
      </c>
      <c r="AF5" t="s">
        <v>23</v>
      </c>
      <c r="AG5" t="s">
        <v>211</v>
      </c>
      <c r="AH5" t="s">
        <v>34</v>
      </c>
      <c r="AJ5">
        <v>2</v>
      </c>
      <c r="AK5" t="s">
        <v>37</v>
      </c>
      <c r="AL5" t="s">
        <v>208</v>
      </c>
      <c r="AQ5" t="s">
        <v>208</v>
      </c>
      <c r="AV5" s="69" t="s">
        <v>135</v>
      </c>
    </row>
    <row r="6" spans="1:48">
      <c r="B6" t="s">
        <v>128</v>
      </c>
      <c r="C6" t="s">
        <v>131</v>
      </c>
      <c r="D6" t="s">
        <v>132</v>
      </c>
      <c r="E6" t="s">
        <v>226</v>
      </c>
      <c r="J6" t="s">
        <v>147</v>
      </c>
      <c r="L6" t="s">
        <v>13</v>
      </c>
      <c r="M6" t="s">
        <v>132</v>
      </c>
      <c r="N6">
        <v>1</v>
      </c>
      <c r="O6" t="s">
        <v>138</v>
      </c>
      <c r="P6" t="s">
        <v>208</v>
      </c>
      <c r="V6" t="s">
        <v>211</v>
      </c>
      <c r="W6" t="s">
        <v>141</v>
      </c>
      <c r="Y6" t="s">
        <v>132</v>
      </c>
      <c r="Z6" t="s">
        <v>145</v>
      </c>
      <c r="AA6" t="s">
        <v>17</v>
      </c>
      <c r="AB6" t="s">
        <v>211</v>
      </c>
      <c r="AC6" t="s">
        <v>80</v>
      </c>
      <c r="AE6">
        <v>2</v>
      </c>
      <c r="AF6" t="s">
        <v>23</v>
      </c>
      <c r="AG6" t="s">
        <v>211</v>
      </c>
      <c r="AH6" t="s">
        <v>34</v>
      </c>
      <c r="AJ6">
        <v>2</v>
      </c>
      <c r="AK6" t="s">
        <v>37</v>
      </c>
      <c r="AL6" t="s">
        <v>208</v>
      </c>
      <c r="AQ6" t="s">
        <v>208</v>
      </c>
      <c r="AV6" s="69" t="s">
        <v>135</v>
      </c>
    </row>
    <row r="7" spans="1:48">
      <c r="B7" t="s">
        <v>128</v>
      </c>
      <c r="C7" t="s">
        <v>131</v>
      </c>
      <c r="D7" t="s">
        <v>132</v>
      </c>
      <c r="E7" t="s">
        <v>226</v>
      </c>
      <c r="J7" t="s">
        <v>148</v>
      </c>
      <c r="L7" t="s">
        <v>13</v>
      </c>
      <c r="M7" t="s">
        <v>132</v>
      </c>
      <c r="N7">
        <v>1</v>
      </c>
      <c r="O7" t="s">
        <v>138</v>
      </c>
      <c r="P7" t="s">
        <v>208</v>
      </c>
      <c r="V7" t="s">
        <v>211</v>
      </c>
      <c r="W7" t="s">
        <v>25</v>
      </c>
      <c r="Y7" t="s">
        <v>132</v>
      </c>
      <c r="Z7" t="s">
        <v>144</v>
      </c>
      <c r="AA7" t="s">
        <v>146</v>
      </c>
      <c r="AB7" t="s">
        <v>211</v>
      </c>
      <c r="AC7" t="s">
        <v>80</v>
      </c>
      <c r="AE7">
        <v>2</v>
      </c>
      <c r="AF7" t="s">
        <v>23</v>
      </c>
      <c r="AG7" t="s">
        <v>211</v>
      </c>
      <c r="AH7" t="s">
        <v>34</v>
      </c>
      <c r="AJ7">
        <v>2</v>
      </c>
      <c r="AK7" t="s">
        <v>37</v>
      </c>
      <c r="AL7" t="s">
        <v>208</v>
      </c>
      <c r="AQ7" t="s">
        <v>208</v>
      </c>
      <c r="AV7" s="69" t="s">
        <v>135</v>
      </c>
    </row>
    <row r="8" spans="1:48">
      <c r="B8" t="s">
        <v>149</v>
      </c>
      <c r="C8" t="s">
        <v>131</v>
      </c>
      <c r="D8" t="s">
        <v>132</v>
      </c>
      <c r="E8" t="s">
        <v>226</v>
      </c>
      <c r="H8" t="s">
        <v>150</v>
      </c>
      <c r="J8" t="s">
        <v>134</v>
      </c>
      <c r="K8" t="s">
        <v>156</v>
      </c>
      <c r="L8" t="s">
        <v>154</v>
      </c>
      <c r="M8" t="s">
        <v>132</v>
      </c>
      <c r="O8" t="s">
        <v>50</v>
      </c>
      <c r="P8" t="s">
        <v>208</v>
      </c>
      <c r="V8" t="s">
        <v>211</v>
      </c>
      <c r="W8" t="s">
        <v>24</v>
      </c>
      <c r="Y8" t="s">
        <v>132</v>
      </c>
      <c r="Z8" t="s">
        <v>144</v>
      </c>
      <c r="AA8" t="s">
        <v>138</v>
      </c>
      <c r="AB8" t="s">
        <v>211</v>
      </c>
      <c r="AC8" t="s">
        <v>34</v>
      </c>
      <c r="AE8">
        <v>2</v>
      </c>
      <c r="AF8" t="s">
        <v>37</v>
      </c>
      <c r="AG8" t="s">
        <v>211</v>
      </c>
      <c r="AH8" t="s">
        <v>123</v>
      </c>
      <c r="AJ8">
        <v>2</v>
      </c>
      <c r="AK8" t="s">
        <v>119</v>
      </c>
      <c r="AL8" t="s">
        <v>208</v>
      </c>
      <c r="AQ8" t="s">
        <v>208</v>
      </c>
      <c r="AV8" s="69" t="s">
        <v>135</v>
      </c>
    </row>
    <row r="9" spans="1:48">
      <c r="B9" t="s">
        <v>149</v>
      </c>
      <c r="C9" t="s">
        <v>131</v>
      </c>
      <c r="D9" t="s">
        <v>132</v>
      </c>
      <c r="E9" t="s">
        <v>226</v>
      </c>
      <c r="H9" t="s">
        <v>150</v>
      </c>
      <c r="J9" t="s">
        <v>140</v>
      </c>
      <c r="K9" t="s">
        <v>156</v>
      </c>
      <c r="L9" t="s">
        <v>154</v>
      </c>
      <c r="M9" t="s">
        <v>132</v>
      </c>
      <c r="O9" t="s">
        <v>50</v>
      </c>
      <c r="P9" t="s">
        <v>208</v>
      </c>
      <c r="V9" t="s">
        <v>211</v>
      </c>
      <c r="W9" t="s">
        <v>141</v>
      </c>
      <c r="Y9" t="s">
        <v>132</v>
      </c>
      <c r="Z9" t="s">
        <v>145</v>
      </c>
      <c r="AA9" t="s">
        <v>17</v>
      </c>
      <c r="AB9" t="s">
        <v>211</v>
      </c>
      <c r="AC9" t="s">
        <v>34</v>
      </c>
      <c r="AE9">
        <v>2</v>
      </c>
      <c r="AF9" t="s">
        <v>37</v>
      </c>
      <c r="AG9" t="s">
        <v>211</v>
      </c>
      <c r="AH9" t="s">
        <v>123</v>
      </c>
      <c r="AJ9">
        <v>2</v>
      </c>
      <c r="AK9" t="s">
        <v>119</v>
      </c>
      <c r="AL9" t="s">
        <v>208</v>
      </c>
      <c r="AQ9" t="s">
        <v>208</v>
      </c>
      <c r="AV9" s="69" t="s">
        <v>135</v>
      </c>
    </row>
    <row r="10" spans="1:48">
      <c r="B10" t="s">
        <v>149</v>
      </c>
      <c r="C10" t="s">
        <v>131</v>
      </c>
      <c r="D10" t="s">
        <v>132</v>
      </c>
      <c r="E10" t="s">
        <v>226</v>
      </c>
      <c r="H10" t="s">
        <v>150</v>
      </c>
      <c r="J10" t="s">
        <v>142</v>
      </c>
      <c r="K10" t="s">
        <v>156</v>
      </c>
      <c r="L10" t="s">
        <v>154</v>
      </c>
      <c r="M10" t="s">
        <v>132</v>
      </c>
      <c r="O10" t="s">
        <v>50</v>
      </c>
      <c r="P10" t="s">
        <v>208</v>
      </c>
      <c r="V10" t="s">
        <v>211</v>
      </c>
      <c r="W10" t="s">
        <v>25</v>
      </c>
      <c r="Y10" t="s">
        <v>132</v>
      </c>
      <c r="Z10" t="s">
        <v>144</v>
      </c>
      <c r="AA10" t="s">
        <v>146</v>
      </c>
      <c r="AB10" t="s">
        <v>211</v>
      </c>
      <c r="AC10" t="s">
        <v>34</v>
      </c>
      <c r="AE10">
        <v>2</v>
      </c>
      <c r="AF10" t="s">
        <v>37</v>
      </c>
      <c r="AG10" t="s">
        <v>211</v>
      </c>
      <c r="AH10" t="s">
        <v>123</v>
      </c>
      <c r="AJ10">
        <v>2</v>
      </c>
      <c r="AK10" t="s">
        <v>119</v>
      </c>
      <c r="AL10" t="s">
        <v>208</v>
      </c>
      <c r="AQ10" t="s">
        <v>208</v>
      </c>
      <c r="AV10" s="69" t="s">
        <v>135</v>
      </c>
    </row>
    <row r="11" spans="1:48">
      <c r="B11" t="s">
        <v>149</v>
      </c>
      <c r="C11" t="s">
        <v>131</v>
      </c>
      <c r="D11" t="s">
        <v>132</v>
      </c>
      <c r="E11" t="s">
        <v>226</v>
      </c>
      <c r="H11" t="s">
        <v>150</v>
      </c>
      <c r="J11" t="s">
        <v>143</v>
      </c>
      <c r="K11" t="s">
        <v>156</v>
      </c>
      <c r="L11" t="s">
        <v>173</v>
      </c>
      <c r="M11" t="s">
        <v>132</v>
      </c>
      <c r="O11" t="s">
        <v>50</v>
      </c>
      <c r="P11" t="s">
        <v>208</v>
      </c>
      <c r="V11" t="s">
        <v>211</v>
      </c>
      <c r="W11" t="s">
        <v>24</v>
      </c>
      <c r="Y11" t="s">
        <v>132</v>
      </c>
      <c r="Z11" t="s">
        <v>144</v>
      </c>
      <c r="AA11" t="s">
        <v>138</v>
      </c>
      <c r="AB11" t="s">
        <v>211</v>
      </c>
      <c r="AC11" t="s">
        <v>34</v>
      </c>
      <c r="AE11">
        <v>2</v>
      </c>
      <c r="AF11" t="s">
        <v>37</v>
      </c>
      <c r="AG11" t="s">
        <v>211</v>
      </c>
      <c r="AH11" t="s">
        <v>123</v>
      </c>
      <c r="AJ11">
        <v>2</v>
      </c>
      <c r="AK11" t="s">
        <v>119</v>
      </c>
      <c r="AL11" t="s">
        <v>208</v>
      </c>
      <c r="AQ11" t="s">
        <v>208</v>
      </c>
      <c r="AV11" s="69" t="s">
        <v>135</v>
      </c>
    </row>
    <row r="12" spans="1:48">
      <c r="B12" t="s">
        <v>149</v>
      </c>
      <c r="C12" t="s">
        <v>131</v>
      </c>
      <c r="D12" t="s">
        <v>132</v>
      </c>
      <c r="E12" t="s">
        <v>226</v>
      </c>
      <c r="H12" t="s">
        <v>150</v>
      </c>
      <c r="J12" t="s">
        <v>151</v>
      </c>
      <c r="K12" t="s">
        <v>156</v>
      </c>
      <c r="L12" t="s">
        <v>173</v>
      </c>
      <c r="M12" t="s">
        <v>132</v>
      </c>
      <c r="O12" t="s">
        <v>50</v>
      </c>
      <c r="P12" t="s">
        <v>208</v>
      </c>
      <c r="V12" t="s">
        <v>211</v>
      </c>
      <c r="W12" t="s">
        <v>141</v>
      </c>
      <c r="Y12" t="s">
        <v>132</v>
      </c>
      <c r="Z12" t="s">
        <v>145</v>
      </c>
      <c r="AA12" t="s">
        <v>17</v>
      </c>
      <c r="AB12" t="s">
        <v>211</v>
      </c>
      <c r="AC12" t="s">
        <v>34</v>
      </c>
      <c r="AE12">
        <v>2</v>
      </c>
      <c r="AF12" t="s">
        <v>37</v>
      </c>
      <c r="AG12" t="s">
        <v>211</v>
      </c>
      <c r="AH12" t="s">
        <v>123</v>
      </c>
      <c r="AJ12">
        <v>2</v>
      </c>
      <c r="AK12" t="s">
        <v>119</v>
      </c>
      <c r="AL12" t="s">
        <v>208</v>
      </c>
      <c r="AQ12" t="s">
        <v>208</v>
      </c>
      <c r="AV12" s="69" t="s">
        <v>135</v>
      </c>
    </row>
    <row r="13" spans="1:48">
      <c r="B13" t="s">
        <v>149</v>
      </c>
      <c r="C13" t="s">
        <v>131</v>
      </c>
      <c r="D13" t="s">
        <v>132</v>
      </c>
      <c r="E13" t="s">
        <v>226</v>
      </c>
      <c r="H13" t="s">
        <v>150</v>
      </c>
      <c r="J13" t="s">
        <v>152</v>
      </c>
      <c r="K13" t="s">
        <v>156</v>
      </c>
      <c r="L13" t="s">
        <v>173</v>
      </c>
      <c r="M13" t="s">
        <v>132</v>
      </c>
      <c r="O13" t="s">
        <v>50</v>
      </c>
      <c r="P13" t="s">
        <v>208</v>
      </c>
      <c r="V13" t="s">
        <v>211</v>
      </c>
      <c r="W13" t="s">
        <v>25</v>
      </c>
      <c r="Y13" t="s">
        <v>132</v>
      </c>
      <c r="Z13" t="s">
        <v>144</v>
      </c>
      <c r="AA13" t="s">
        <v>146</v>
      </c>
      <c r="AB13" t="s">
        <v>211</v>
      </c>
      <c r="AC13" t="s">
        <v>34</v>
      </c>
      <c r="AE13">
        <v>2</v>
      </c>
      <c r="AF13" t="s">
        <v>37</v>
      </c>
      <c r="AG13" t="s">
        <v>211</v>
      </c>
      <c r="AH13" t="s">
        <v>123</v>
      </c>
      <c r="AJ13">
        <v>2</v>
      </c>
      <c r="AK13" t="s">
        <v>119</v>
      </c>
      <c r="AL13" t="s">
        <v>208</v>
      </c>
      <c r="AQ13" t="s">
        <v>208</v>
      </c>
      <c r="AV13" s="69" t="s">
        <v>135</v>
      </c>
    </row>
    <row r="14" spans="1:48">
      <c r="B14" t="s">
        <v>149</v>
      </c>
      <c r="C14" t="s">
        <v>131</v>
      </c>
      <c r="D14" t="s">
        <v>132</v>
      </c>
      <c r="E14" t="s">
        <v>226</v>
      </c>
      <c r="H14" t="s">
        <v>150</v>
      </c>
      <c r="J14" t="s">
        <v>175</v>
      </c>
      <c r="K14" t="s">
        <v>156</v>
      </c>
      <c r="L14" t="s">
        <v>174</v>
      </c>
      <c r="M14" t="s">
        <v>132</v>
      </c>
      <c r="O14" t="s">
        <v>50</v>
      </c>
      <c r="P14" t="s">
        <v>208</v>
      </c>
      <c r="V14" t="s">
        <v>211</v>
      </c>
      <c r="W14" t="s">
        <v>24</v>
      </c>
      <c r="Y14" t="s">
        <v>132</v>
      </c>
      <c r="Z14" t="s">
        <v>144</v>
      </c>
      <c r="AA14" t="s">
        <v>138</v>
      </c>
      <c r="AB14" t="s">
        <v>211</v>
      </c>
      <c r="AC14" t="s">
        <v>34</v>
      </c>
      <c r="AE14">
        <v>2</v>
      </c>
      <c r="AF14" t="s">
        <v>37</v>
      </c>
      <c r="AG14" t="s">
        <v>211</v>
      </c>
      <c r="AH14" t="s">
        <v>123</v>
      </c>
      <c r="AJ14">
        <v>2</v>
      </c>
      <c r="AK14" t="s">
        <v>119</v>
      </c>
      <c r="AL14" t="s">
        <v>208</v>
      </c>
      <c r="AQ14" t="s">
        <v>208</v>
      </c>
      <c r="AV14" s="69" t="s">
        <v>135</v>
      </c>
    </row>
    <row r="15" spans="1:48">
      <c r="B15" t="s">
        <v>149</v>
      </c>
      <c r="C15" t="s">
        <v>131</v>
      </c>
      <c r="D15" t="s">
        <v>132</v>
      </c>
      <c r="E15" t="s">
        <v>226</v>
      </c>
      <c r="H15" t="s">
        <v>150</v>
      </c>
      <c r="J15" t="s">
        <v>176</v>
      </c>
      <c r="K15" t="s">
        <v>156</v>
      </c>
      <c r="L15" t="s">
        <v>174</v>
      </c>
      <c r="M15" t="s">
        <v>132</v>
      </c>
      <c r="O15" t="s">
        <v>50</v>
      </c>
      <c r="P15" t="s">
        <v>208</v>
      </c>
      <c r="V15" t="s">
        <v>211</v>
      </c>
      <c r="W15" t="s">
        <v>141</v>
      </c>
      <c r="Y15" t="s">
        <v>132</v>
      </c>
      <c r="Z15" t="s">
        <v>145</v>
      </c>
      <c r="AA15" t="s">
        <v>17</v>
      </c>
      <c r="AB15" t="s">
        <v>211</v>
      </c>
      <c r="AC15" t="s">
        <v>34</v>
      </c>
      <c r="AE15">
        <v>2</v>
      </c>
      <c r="AF15" t="s">
        <v>37</v>
      </c>
      <c r="AG15" t="s">
        <v>211</v>
      </c>
      <c r="AH15" t="s">
        <v>123</v>
      </c>
      <c r="AJ15">
        <v>2</v>
      </c>
      <c r="AK15" t="s">
        <v>119</v>
      </c>
      <c r="AL15" t="s">
        <v>208</v>
      </c>
      <c r="AQ15" t="s">
        <v>208</v>
      </c>
      <c r="AV15" s="69" t="s">
        <v>135</v>
      </c>
    </row>
    <row r="16" spans="1:48">
      <c r="B16" t="s">
        <v>149</v>
      </c>
      <c r="C16" t="s">
        <v>131</v>
      </c>
      <c r="D16" t="s">
        <v>132</v>
      </c>
      <c r="E16" t="s">
        <v>226</v>
      </c>
      <c r="H16" t="s">
        <v>150</v>
      </c>
      <c r="J16" t="s">
        <v>177</v>
      </c>
      <c r="K16" t="s">
        <v>156</v>
      </c>
      <c r="L16" t="s">
        <v>174</v>
      </c>
      <c r="M16" t="s">
        <v>132</v>
      </c>
      <c r="O16" t="s">
        <v>50</v>
      </c>
      <c r="P16" t="s">
        <v>208</v>
      </c>
      <c r="V16" t="s">
        <v>211</v>
      </c>
      <c r="W16" t="s">
        <v>25</v>
      </c>
      <c r="Y16" t="s">
        <v>132</v>
      </c>
      <c r="Z16" t="s">
        <v>144</v>
      </c>
      <c r="AA16" t="s">
        <v>146</v>
      </c>
      <c r="AB16" t="s">
        <v>211</v>
      </c>
      <c r="AC16" t="s">
        <v>34</v>
      </c>
      <c r="AE16">
        <v>2</v>
      </c>
      <c r="AF16" t="s">
        <v>37</v>
      </c>
      <c r="AG16" t="s">
        <v>211</v>
      </c>
      <c r="AH16" t="s">
        <v>123</v>
      </c>
      <c r="AJ16">
        <v>2</v>
      </c>
      <c r="AK16" t="s">
        <v>119</v>
      </c>
      <c r="AL16" t="s">
        <v>208</v>
      </c>
      <c r="AQ16" t="s">
        <v>208</v>
      </c>
      <c r="AV16" s="69" t="s">
        <v>135</v>
      </c>
    </row>
    <row r="17" spans="2:48">
      <c r="B17" t="s">
        <v>149</v>
      </c>
      <c r="C17" t="s">
        <v>131</v>
      </c>
      <c r="D17" t="s">
        <v>132</v>
      </c>
      <c r="E17" t="s">
        <v>226</v>
      </c>
      <c r="H17" t="s">
        <v>150</v>
      </c>
      <c r="J17" t="s">
        <v>178</v>
      </c>
      <c r="L17" t="s">
        <v>40</v>
      </c>
      <c r="M17" t="s">
        <v>132</v>
      </c>
      <c r="O17" t="s">
        <v>181</v>
      </c>
      <c r="P17" t="s">
        <v>208</v>
      </c>
      <c r="V17" t="s">
        <v>211</v>
      </c>
      <c r="W17" t="s">
        <v>24</v>
      </c>
      <c r="Y17" t="s">
        <v>132</v>
      </c>
      <c r="Z17" t="s">
        <v>144</v>
      </c>
      <c r="AA17" t="s">
        <v>138</v>
      </c>
      <c r="AB17" t="s">
        <v>211</v>
      </c>
      <c r="AC17" t="s">
        <v>34</v>
      </c>
      <c r="AE17">
        <v>2</v>
      </c>
      <c r="AF17" t="s">
        <v>37</v>
      </c>
      <c r="AG17" t="s">
        <v>211</v>
      </c>
      <c r="AH17" t="s">
        <v>123</v>
      </c>
      <c r="AJ17">
        <v>2</v>
      </c>
      <c r="AK17" t="s">
        <v>119</v>
      </c>
      <c r="AL17" t="s">
        <v>208</v>
      </c>
      <c r="AQ17" t="s">
        <v>208</v>
      </c>
      <c r="AV17" s="69" t="s">
        <v>135</v>
      </c>
    </row>
    <row r="18" spans="2:48">
      <c r="B18" t="s">
        <v>149</v>
      </c>
      <c r="C18" t="s">
        <v>131</v>
      </c>
      <c r="D18" t="s">
        <v>132</v>
      </c>
      <c r="E18" t="s">
        <v>226</v>
      </c>
      <c r="H18" t="s">
        <v>150</v>
      </c>
      <c r="J18" t="s">
        <v>179</v>
      </c>
      <c r="L18" t="s">
        <v>40</v>
      </c>
      <c r="M18" t="s">
        <v>132</v>
      </c>
      <c r="O18" t="s">
        <v>181</v>
      </c>
      <c r="P18" t="s">
        <v>208</v>
      </c>
      <c r="V18" t="s">
        <v>211</v>
      </c>
      <c r="W18" t="s">
        <v>141</v>
      </c>
      <c r="Y18" t="s">
        <v>132</v>
      </c>
      <c r="Z18" t="s">
        <v>145</v>
      </c>
      <c r="AA18" t="s">
        <v>17</v>
      </c>
      <c r="AB18" t="s">
        <v>211</v>
      </c>
      <c r="AC18" t="s">
        <v>34</v>
      </c>
      <c r="AE18">
        <v>2</v>
      </c>
      <c r="AF18" t="s">
        <v>37</v>
      </c>
      <c r="AG18" t="s">
        <v>211</v>
      </c>
      <c r="AH18" t="s">
        <v>123</v>
      </c>
      <c r="AJ18">
        <v>2</v>
      </c>
      <c r="AK18" t="s">
        <v>119</v>
      </c>
      <c r="AL18" t="s">
        <v>208</v>
      </c>
      <c r="AQ18" t="s">
        <v>208</v>
      </c>
      <c r="AV18" s="69" t="s">
        <v>135</v>
      </c>
    </row>
    <row r="19" spans="2:48">
      <c r="B19" t="s">
        <v>149</v>
      </c>
      <c r="C19" t="s">
        <v>131</v>
      </c>
      <c r="D19" t="s">
        <v>132</v>
      </c>
      <c r="E19" t="s">
        <v>226</v>
      </c>
      <c r="H19" t="s">
        <v>150</v>
      </c>
      <c r="J19" t="s">
        <v>180</v>
      </c>
      <c r="L19" t="s">
        <v>40</v>
      </c>
      <c r="M19" t="s">
        <v>132</v>
      </c>
      <c r="O19" t="s">
        <v>181</v>
      </c>
      <c r="P19" t="s">
        <v>208</v>
      </c>
      <c r="V19" t="s">
        <v>211</v>
      </c>
      <c r="W19" t="s">
        <v>25</v>
      </c>
      <c r="Y19" t="s">
        <v>132</v>
      </c>
      <c r="Z19" t="s">
        <v>144</v>
      </c>
      <c r="AA19" t="s">
        <v>146</v>
      </c>
      <c r="AB19" t="s">
        <v>211</v>
      </c>
      <c r="AC19" t="s">
        <v>34</v>
      </c>
      <c r="AE19">
        <v>2</v>
      </c>
      <c r="AF19" t="s">
        <v>37</v>
      </c>
      <c r="AG19" t="s">
        <v>211</v>
      </c>
      <c r="AH19" t="s">
        <v>123</v>
      </c>
      <c r="AJ19">
        <v>2</v>
      </c>
      <c r="AK19" t="s">
        <v>119</v>
      </c>
      <c r="AL19" t="s">
        <v>208</v>
      </c>
      <c r="AQ19" t="s">
        <v>208</v>
      </c>
      <c r="AV19" s="69" t="s">
        <v>135</v>
      </c>
    </row>
    <row r="20" spans="2:48">
      <c r="B20" t="s">
        <v>182</v>
      </c>
      <c r="C20" t="s">
        <v>131</v>
      </c>
      <c r="D20" t="s">
        <v>132</v>
      </c>
      <c r="E20" t="s">
        <v>226</v>
      </c>
      <c r="H20" t="s">
        <v>184</v>
      </c>
      <c r="I20" t="s">
        <v>185</v>
      </c>
      <c r="J20" t="s">
        <v>134</v>
      </c>
      <c r="K20" t="s">
        <v>187</v>
      </c>
      <c r="L20" t="s">
        <v>188</v>
      </c>
      <c r="M20" t="s">
        <v>132</v>
      </c>
      <c r="O20" t="s">
        <v>181</v>
      </c>
      <c r="P20" t="s">
        <v>208</v>
      </c>
      <c r="V20" t="s">
        <v>211</v>
      </c>
      <c r="W20" t="s">
        <v>24</v>
      </c>
      <c r="Y20" t="s">
        <v>132</v>
      </c>
      <c r="Z20" t="s">
        <v>46</v>
      </c>
      <c r="AA20" t="s">
        <v>138</v>
      </c>
      <c r="AB20" t="s">
        <v>211</v>
      </c>
      <c r="AC20" t="s">
        <v>53</v>
      </c>
      <c r="AE20">
        <v>2</v>
      </c>
      <c r="AF20" t="s">
        <v>37</v>
      </c>
      <c r="AG20" t="s">
        <v>211</v>
      </c>
      <c r="AH20" t="s">
        <v>75</v>
      </c>
      <c r="AJ20">
        <v>4</v>
      </c>
      <c r="AK20" t="s">
        <v>77</v>
      </c>
      <c r="AL20" t="s">
        <v>208</v>
      </c>
      <c r="AQ20" t="s">
        <v>208</v>
      </c>
      <c r="AV20" s="69" t="s">
        <v>135</v>
      </c>
    </row>
    <row r="21" spans="2:48">
      <c r="B21" t="s">
        <v>182</v>
      </c>
      <c r="C21" t="s">
        <v>189</v>
      </c>
      <c r="D21" t="s">
        <v>132</v>
      </c>
      <c r="E21" t="s">
        <v>226</v>
      </c>
      <c r="H21" t="s">
        <v>185</v>
      </c>
      <c r="J21" t="s">
        <v>134</v>
      </c>
      <c r="K21" t="s">
        <v>52</v>
      </c>
      <c r="N21">
        <v>1</v>
      </c>
      <c r="O21" t="s">
        <v>138</v>
      </c>
      <c r="P21" t="s">
        <v>208</v>
      </c>
      <c r="V21" t="s">
        <v>211</v>
      </c>
      <c r="W21" t="s">
        <v>190</v>
      </c>
      <c r="X21" t="s">
        <v>191</v>
      </c>
      <c r="Y21" t="s">
        <v>132</v>
      </c>
      <c r="Z21" t="s">
        <v>46</v>
      </c>
      <c r="AA21" t="s">
        <v>138</v>
      </c>
      <c r="AB21" t="s">
        <v>211</v>
      </c>
      <c r="AC21" t="s">
        <v>53</v>
      </c>
      <c r="AE21">
        <v>2</v>
      </c>
      <c r="AF21" t="s">
        <v>37</v>
      </c>
      <c r="AG21" t="s">
        <v>211</v>
      </c>
      <c r="AH21" t="s">
        <v>75</v>
      </c>
      <c r="AJ21">
        <v>4</v>
      </c>
      <c r="AK21" t="s">
        <v>77</v>
      </c>
      <c r="AL21" t="s">
        <v>208</v>
      </c>
      <c r="AQ21" t="s">
        <v>208</v>
      </c>
      <c r="AV21" s="69" t="s">
        <v>135</v>
      </c>
    </row>
    <row r="22" spans="2:48">
      <c r="B22" t="s">
        <v>194</v>
      </c>
      <c r="C22" t="s">
        <v>131</v>
      </c>
      <c r="D22" t="s">
        <v>132</v>
      </c>
      <c r="E22" t="s">
        <v>226</v>
      </c>
      <c r="F22" t="s">
        <v>197</v>
      </c>
      <c r="G22" t="s">
        <v>196</v>
      </c>
      <c r="H22" t="s">
        <v>198</v>
      </c>
      <c r="J22" t="s">
        <v>134</v>
      </c>
      <c r="K22" t="s">
        <v>187</v>
      </c>
      <c r="L22" t="s">
        <v>199</v>
      </c>
      <c r="M22" t="s">
        <v>132</v>
      </c>
      <c r="O22" t="s">
        <v>136</v>
      </c>
      <c r="P22" t="s">
        <v>208</v>
      </c>
      <c r="V22" t="s">
        <v>208</v>
      </c>
      <c r="AB22" t="s">
        <v>211</v>
      </c>
      <c r="AC22" t="s">
        <v>79</v>
      </c>
      <c r="AE22">
        <v>2</v>
      </c>
      <c r="AF22" t="s">
        <v>23</v>
      </c>
      <c r="AG22" t="s">
        <v>211</v>
      </c>
      <c r="AH22" t="s">
        <v>74</v>
      </c>
      <c r="AJ22">
        <v>2</v>
      </c>
      <c r="AK22" t="s">
        <v>77</v>
      </c>
      <c r="AL22" t="s">
        <v>208</v>
      </c>
      <c r="AQ22" t="s">
        <v>208</v>
      </c>
      <c r="AV22" s="69" t="s">
        <v>135</v>
      </c>
    </row>
    <row r="23" spans="2:48">
      <c r="B23" t="s">
        <v>200</v>
      </c>
      <c r="C23" t="s">
        <v>131</v>
      </c>
      <c r="D23" t="s">
        <v>132</v>
      </c>
      <c r="E23" t="s">
        <v>226</v>
      </c>
      <c r="G23" t="s">
        <v>196</v>
      </c>
      <c r="H23" t="s">
        <v>81</v>
      </c>
      <c r="I23" t="s">
        <v>198</v>
      </c>
      <c r="J23" t="s">
        <v>134</v>
      </c>
      <c r="K23" t="s">
        <v>190</v>
      </c>
      <c r="L23" t="s">
        <v>191</v>
      </c>
      <c r="M23" t="s">
        <v>132</v>
      </c>
      <c r="N23">
        <v>1</v>
      </c>
      <c r="O23" t="s">
        <v>138</v>
      </c>
      <c r="P23" t="s">
        <v>208</v>
      </c>
      <c r="V23" t="s">
        <v>208</v>
      </c>
      <c r="AB23" t="s">
        <v>211</v>
      </c>
      <c r="AC23" t="s">
        <v>84</v>
      </c>
      <c r="AE23">
        <v>2</v>
      </c>
      <c r="AF23" t="s">
        <v>23</v>
      </c>
      <c r="AG23" t="s">
        <v>211</v>
      </c>
      <c r="AH23" t="s">
        <v>124</v>
      </c>
      <c r="AJ23">
        <v>4</v>
      </c>
      <c r="AK23" t="s">
        <v>23</v>
      </c>
      <c r="AL23" t="s">
        <v>208</v>
      </c>
      <c r="AQ23" t="s">
        <v>208</v>
      </c>
      <c r="AV23" s="69" t="s">
        <v>135</v>
      </c>
    </row>
    <row r="24" spans="2:48">
      <c r="B24" t="s">
        <v>200</v>
      </c>
      <c r="C24" t="s">
        <v>131</v>
      </c>
      <c r="D24" t="s">
        <v>132</v>
      </c>
      <c r="E24" t="s">
        <v>226</v>
      </c>
      <c r="G24" t="s">
        <v>201</v>
      </c>
      <c r="H24" t="s">
        <v>81</v>
      </c>
      <c r="I24" t="s">
        <v>198</v>
      </c>
      <c r="J24" t="s">
        <v>134</v>
      </c>
      <c r="K24" t="s">
        <v>190</v>
      </c>
      <c r="L24" t="s">
        <v>191</v>
      </c>
      <c r="M24" t="s">
        <v>132</v>
      </c>
      <c r="N24">
        <v>1</v>
      </c>
      <c r="O24" t="s">
        <v>138</v>
      </c>
      <c r="P24" t="s">
        <v>208</v>
      </c>
      <c r="V24" t="s">
        <v>208</v>
      </c>
      <c r="AB24" t="s">
        <v>211</v>
      </c>
      <c r="AC24" t="s">
        <v>84</v>
      </c>
      <c r="AE24">
        <v>2</v>
      </c>
      <c r="AF24" t="s">
        <v>23</v>
      </c>
      <c r="AG24" t="s">
        <v>211</v>
      </c>
      <c r="AH24" t="s">
        <v>124</v>
      </c>
      <c r="AJ24">
        <v>4</v>
      </c>
      <c r="AK24" t="s">
        <v>23</v>
      </c>
      <c r="AL24" t="s">
        <v>211</v>
      </c>
      <c r="AM24" t="s">
        <v>89</v>
      </c>
      <c r="AO24">
        <v>1</v>
      </c>
      <c r="AP24" s="49" t="s">
        <v>87</v>
      </c>
      <c r="AQ24" t="s">
        <v>208</v>
      </c>
      <c r="AR24" s="49"/>
      <c r="AS24" s="49"/>
      <c r="AT24" s="49"/>
      <c r="AU24" s="49"/>
      <c r="AV24" s="69" t="s">
        <v>135</v>
      </c>
    </row>
    <row r="25" spans="2:48">
      <c r="B25" t="s">
        <v>194</v>
      </c>
      <c r="C25" t="s">
        <v>131</v>
      </c>
      <c r="D25" t="s">
        <v>132</v>
      </c>
      <c r="E25" t="s">
        <v>226</v>
      </c>
      <c r="F25" t="s">
        <v>195</v>
      </c>
      <c r="G25" t="s">
        <v>201</v>
      </c>
      <c r="H25" t="s">
        <v>198</v>
      </c>
      <c r="J25" t="s">
        <v>134</v>
      </c>
      <c r="K25" t="s">
        <v>187</v>
      </c>
      <c r="L25" t="s">
        <v>199</v>
      </c>
      <c r="M25" t="s">
        <v>132</v>
      </c>
      <c r="O25" t="s">
        <v>136</v>
      </c>
      <c r="P25" t="s">
        <v>211</v>
      </c>
      <c r="Q25" t="s">
        <v>190</v>
      </c>
      <c r="R25" t="s">
        <v>191</v>
      </c>
      <c r="S25" t="s">
        <v>132</v>
      </c>
      <c r="T25">
        <v>1</v>
      </c>
      <c r="U25" t="s">
        <v>138</v>
      </c>
      <c r="V25" t="s">
        <v>208</v>
      </c>
      <c r="AB25" t="s">
        <v>211</v>
      </c>
      <c r="AC25" t="s">
        <v>84</v>
      </c>
      <c r="AE25">
        <v>2</v>
      </c>
      <c r="AF25" t="s">
        <v>23</v>
      </c>
      <c r="AG25" t="s">
        <v>211</v>
      </c>
      <c r="AH25" t="s">
        <v>124</v>
      </c>
      <c r="AJ25">
        <v>4</v>
      </c>
      <c r="AK25" t="s">
        <v>23</v>
      </c>
      <c r="AL25" t="s">
        <v>211</v>
      </c>
      <c r="AM25" t="s">
        <v>89</v>
      </c>
      <c r="AO25">
        <v>1</v>
      </c>
      <c r="AP25" s="49" t="s">
        <v>87</v>
      </c>
      <c r="AQ25" t="s">
        <v>208</v>
      </c>
      <c r="AR25" s="49"/>
      <c r="AS25" s="49"/>
      <c r="AT25" s="49"/>
      <c r="AU25" s="49"/>
      <c r="AV25" s="69" t="s">
        <v>135</v>
      </c>
    </row>
    <row r="26" spans="2:48">
      <c r="B26" t="s">
        <v>215</v>
      </c>
      <c r="C26" t="s">
        <v>131</v>
      </c>
      <c r="D26" t="s">
        <v>132</v>
      </c>
      <c r="E26" t="s">
        <v>226</v>
      </c>
      <c r="G26" t="s">
        <v>220</v>
      </c>
      <c r="H26" t="s">
        <v>81</v>
      </c>
      <c r="J26" t="s">
        <v>134</v>
      </c>
      <c r="L26" t="s">
        <v>13</v>
      </c>
      <c r="M26" t="s">
        <v>132</v>
      </c>
      <c r="N26">
        <v>1</v>
      </c>
      <c r="O26" t="s">
        <v>181</v>
      </c>
      <c r="P26" t="s">
        <v>208</v>
      </c>
      <c r="V26" t="s">
        <v>211</v>
      </c>
      <c r="W26" t="s">
        <v>190</v>
      </c>
      <c r="X26" t="s">
        <v>191</v>
      </c>
      <c r="Y26" t="s">
        <v>132</v>
      </c>
      <c r="Z26">
        <v>1</v>
      </c>
      <c r="AA26" t="s">
        <v>138</v>
      </c>
      <c r="AB26" t="s">
        <v>211</v>
      </c>
      <c r="AC26" t="s">
        <v>79</v>
      </c>
      <c r="AE26">
        <v>2</v>
      </c>
      <c r="AF26" t="s">
        <v>23</v>
      </c>
      <c r="AG26" t="s">
        <v>211</v>
      </c>
      <c r="AH26" t="s">
        <v>53</v>
      </c>
      <c r="AJ26">
        <v>2</v>
      </c>
      <c r="AK26" t="s">
        <v>37</v>
      </c>
      <c r="AL26" t="s">
        <v>211</v>
      </c>
      <c r="AM26" t="s">
        <v>94</v>
      </c>
      <c r="AO26">
        <v>2</v>
      </c>
      <c r="AP26" s="49" t="s">
        <v>87</v>
      </c>
      <c r="AQ26" t="s">
        <v>208</v>
      </c>
      <c r="AU26" s="49"/>
      <c r="AV26" s="69" t="s">
        <v>135</v>
      </c>
    </row>
    <row r="27" spans="2:48">
      <c r="B27" t="s">
        <v>215</v>
      </c>
      <c r="C27" t="s">
        <v>131</v>
      </c>
      <c r="D27" t="s">
        <v>132</v>
      </c>
      <c r="E27" t="s">
        <v>226</v>
      </c>
      <c r="G27" t="s">
        <v>221</v>
      </c>
      <c r="H27" t="s">
        <v>81</v>
      </c>
      <c r="J27" t="s">
        <v>134</v>
      </c>
      <c r="L27" t="s">
        <v>13</v>
      </c>
      <c r="M27" t="s">
        <v>132</v>
      </c>
      <c r="N27">
        <v>1</v>
      </c>
      <c r="O27" t="s">
        <v>181</v>
      </c>
      <c r="P27" t="s">
        <v>208</v>
      </c>
      <c r="V27" t="s">
        <v>211</v>
      </c>
      <c r="W27" t="s">
        <v>190</v>
      </c>
      <c r="X27" t="s">
        <v>191</v>
      </c>
      <c r="Y27" t="s">
        <v>132</v>
      </c>
      <c r="Z27">
        <v>1</v>
      </c>
      <c r="AA27" t="s">
        <v>138</v>
      </c>
      <c r="AB27" t="s">
        <v>211</v>
      </c>
      <c r="AC27" t="s">
        <v>79</v>
      </c>
      <c r="AE27">
        <v>2</v>
      </c>
      <c r="AF27" t="s">
        <v>23</v>
      </c>
      <c r="AG27" t="s">
        <v>211</v>
      </c>
      <c r="AH27" t="s">
        <v>53</v>
      </c>
      <c r="AJ27">
        <v>2</v>
      </c>
      <c r="AK27" t="s">
        <v>37</v>
      </c>
      <c r="AL27" t="s">
        <v>208</v>
      </c>
      <c r="AP27" s="49"/>
      <c r="AQ27" t="s">
        <v>211</v>
      </c>
      <c r="AR27" t="s">
        <v>89</v>
      </c>
      <c r="AT27">
        <v>1</v>
      </c>
      <c r="AU27" s="49" t="s">
        <v>87</v>
      </c>
      <c r="AV27" s="69" t="s">
        <v>135</v>
      </c>
    </row>
    <row r="28" spans="2:48">
      <c r="B28" t="s">
        <v>215</v>
      </c>
      <c r="C28" t="s">
        <v>189</v>
      </c>
      <c r="D28" t="s">
        <v>132</v>
      </c>
      <c r="E28" t="s">
        <v>226</v>
      </c>
      <c r="G28" t="s">
        <v>220</v>
      </c>
      <c r="H28" t="s">
        <v>81</v>
      </c>
      <c r="J28" t="s">
        <v>134</v>
      </c>
      <c r="K28" t="s">
        <v>52</v>
      </c>
      <c r="N28">
        <v>1</v>
      </c>
      <c r="O28" t="s">
        <v>181</v>
      </c>
      <c r="P28" t="s">
        <v>208</v>
      </c>
      <c r="V28" t="s">
        <v>211</v>
      </c>
      <c r="W28" t="s">
        <v>190</v>
      </c>
      <c r="X28" t="s">
        <v>191</v>
      </c>
      <c r="Y28" t="s">
        <v>132</v>
      </c>
      <c r="Z28">
        <v>1</v>
      </c>
      <c r="AA28" t="s">
        <v>138</v>
      </c>
      <c r="AB28" t="s">
        <v>211</v>
      </c>
      <c r="AC28" t="s">
        <v>79</v>
      </c>
      <c r="AE28">
        <v>2</v>
      </c>
      <c r="AF28" t="s">
        <v>23</v>
      </c>
      <c r="AG28" t="s">
        <v>211</v>
      </c>
      <c r="AH28" t="s">
        <v>53</v>
      </c>
      <c r="AJ28">
        <v>2</v>
      </c>
      <c r="AK28" t="s">
        <v>37</v>
      </c>
      <c r="AL28" t="s">
        <v>211</v>
      </c>
      <c r="AM28" t="s">
        <v>94</v>
      </c>
      <c r="AO28">
        <v>2</v>
      </c>
      <c r="AP28" s="49" t="s">
        <v>87</v>
      </c>
      <c r="AQ28" t="s">
        <v>208</v>
      </c>
      <c r="AU28" s="49"/>
      <c r="AV28" s="69" t="s">
        <v>135</v>
      </c>
    </row>
    <row r="29" spans="2:48">
      <c r="B29" t="s">
        <v>215</v>
      </c>
      <c r="C29" t="s">
        <v>189</v>
      </c>
      <c r="D29" t="s">
        <v>132</v>
      </c>
      <c r="E29" t="s">
        <v>226</v>
      </c>
      <c r="G29" t="s">
        <v>221</v>
      </c>
      <c r="H29" t="s">
        <v>81</v>
      </c>
      <c r="J29" t="s">
        <v>134</v>
      </c>
      <c r="K29" t="s">
        <v>52</v>
      </c>
      <c r="N29">
        <v>1</v>
      </c>
      <c r="O29" t="s">
        <v>181</v>
      </c>
      <c r="P29" t="s">
        <v>208</v>
      </c>
      <c r="V29" t="s">
        <v>211</v>
      </c>
      <c r="W29" t="s">
        <v>190</v>
      </c>
      <c r="X29" t="s">
        <v>191</v>
      </c>
      <c r="Y29" t="s">
        <v>132</v>
      </c>
      <c r="Z29">
        <v>1</v>
      </c>
      <c r="AA29" t="s">
        <v>138</v>
      </c>
      <c r="AB29" t="s">
        <v>211</v>
      </c>
      <c r="AC29" t="s">
        <v>79</v>
      </c>
      <c r="AE29">
        <v>2</v>
      </c>
      <c r="AF29" t="s">
        <v>23</v>
      </c>
      <c r="AG29" t="s">
        <v>211</v>
      </c>
      <c r="AH29" t="s">
        <v>53</v>
      </c>
      <c r="AJ29">
        <v>2</v>
      </c>
      <c r="AK29" t="s">
        <v>37</v>
      </c>
      <c r="AL29" t="s">
        <v>208</v>
      </c>
      <c r="AP29" s="49"/>
      <c r="AQ29" t="s">
        <v>211</v>
      </c>
      <c r="AR29" t="s">
        <v>89</v>
      </c>
      <c r="AT29">
        <v>1</v>
      </c>
      <c r="AU29" s="49" t="s">
        <v>87</v>
      </c>
      <c r="AV29" s="69" t="s">
        <v>135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E02E-F1E7-6E4C-A527-EEB0901DF08A}">
  <dimension ref="B2:M22"/>
  <sheetViews>
    <sheetView workbookViewId="0">
      <selection activeCell="G17" sqref="G17"/>
    </sheetView>
  </sheetViews>
  <sheetFormatPr baseColWidth="10" defaultRowHeight="15.75"/>
  <cols>
    <col min="2" max="2" width="14.5" customWidth="1"/>
    <col min="3" max="3" width="23.375" customWidth="1"/>
    <col min="4" max="4" width="33.375" customWidth="1"/>
    <col min="5" max="6" width="29.375" customWidth="1"/>
    <col min="7" max="7" width="20.125" customWidth="1"/>
    <col min="8" max="8" width="31.875" customWidth="1"/>
    <col min="9" max="9" width="50.875" customWidth="1"/>
    <col min="10" max="11" width="34.625" customWidth="1"/>
    <col min="12" max="12" width="31.625" customWidth="1"/>
    <col min="13" max="13" width="25.875" customWidth="1"/>
  </cols>
  <sheetData>
    <row r="2" spans="2:13">
      <c r="B2" s="19" t="s">
        <v>0</v>
      </c>
    </row>
    <row r="3" spans="2:13" ht="16.5" thickBot="1"/>
    <row r="4" spans="2:13" ht="16.5" thickBot="1">
      <c r="B4" s="7"/>
      <c r="C4" s="20"/>
      <c r="D4" s="8" t="s">
        <v>4</v>
      </c>
      <c r="E4" s="8" t="s">
        <v>112</v>
      </c>
      <c r="F4" s="8" t="s">
        <v>30</v>
      </c>
      <c r="G4" s="8" t="s">
        <v>5</v>
      </c>
      <c r="H4" s="71" t="s">
        <v>6</v>
      </c>
      <c r="I4" s="71"/>
      <c r="J4" s="8" t="s">
        <v>110</v>
      </c>
      <c r="K4" s="8" t="s">
        <v>113</v>
      </c>
      <c r="L4" s="8" t="s">
        <v>109</v>
      </c>
      <c r="M4" s="9" t="s">
        <v>16</v>
      </c>
    </row>
    <row r="5" spans="2:13">
      <c r="B5" s="4"/>
      <c r="D5" s="11"/>
      <c r="E5" s="11"/>
      <c r="F5" s="11"/>
      <c r="G5" s="11"/>
      <c r="H5" s="14"/>
      <c r="I5" s="15"/>
      <c r="M5" s="72">
        <v>0</v>
      </c>
    </row>
    <row r="6" spans="2:13">
      <c r="B6" s="5" t="s">
        <v>1</v>
      </c>
      <c r="D6" s="10"/>
      <c r="E6" s="10"/>
      <c r="F6" s="10"/>
      <c r="G6" s="10"/>
      <c r="H6" s="12"/>
      <c r="I6" s="13"/>
      <c r="J6" s="34">
        <v>350</v>
      </c>
      <c r="K6" s="2"/>
      <c r="L6" s="2"/>
      <c r="M6" s="72"/>
    </row>
    <row r="7" spans="2:13">
      <c r="B7" s="5"/>
      <c r="D7" s="11"/>
      <c r="E7" s="11"/>
      <c r="F7" s="11"/>
      <c r="G7" s="11"/>
      <c r="H7" s="14"/>
      <c r="I7" s="15"/>
      <c r="M7" s="72"/>
    </row>
    <row r="8" spans="2:13">
      <c r="B8" s="5"/>
      <c r="D8" s="11"/>
      <c r="E8" s="11"/>
      <c r="F8" s="11"/>
      <c r="G8" s="11"/>
      <c r="H8" s="14"/>
      <c r="I8" s="15"/>
      <c r="M8" s="72"/>
    </row>
    <row r="9" spans="2:13">
      <c r="B9" s="5" t="s">
        <v>2</v>
      </c>
      <c r="C9" s="30" t="s">
        <v>118</v>
      </c>
      <c r="D9" s="10" t="s">
        <v>9</v>
      </c>
      <c r="E9" s="10" t="s">
        <v>111</v>
      </c>
      <c r="F9" s="10" t="s">
        <v>31</v>
      </c>
      <c r="G9" s="10" t="s">
        <v>10</v>
      </c>
      <c r="H9" s="12" t="s">
        <v>11</v>
      </c>
      <c r="I9" s="13" t="s">
        <v>12</v>
      </c>
      <c r="J9" s="31">
        <v>110</v>
      </c>
      <c r="K9" s="31">
        <v>220</v>
      </c>
      <c r="L9" s="12" t="s">
        <v>108</v>
      </c>
      <c r="M9" s="72"/>
    </row>
    <row r="10" spans="2:13">
      <c r="B10" s="5"/>
      <c r="C10" s="26" t="s">
        <v>97</v>
      </c>
      <c r="D10" s="11" t="s">
        <v>13</v>
      </c>
      <c r="E10" s="11" t="s">
        <v>115</v>
      </c>
      <c r="F10" s="11" t="s">
        <v>31</v>
      </c>
      <c r="G10" s="11" t="s">
        <v>14</v>
      </c>
      <c r="H10" s="14"/>
      <c r="I10" s="15" t="s">
        <v>15</v>
      </c>
      <c r="J10" s="27">
        <v>80</v>
      </c>
      <c r="K10" s="27">
        <v>140</v>
      </c>
      <c r="L10" s="14" t="s">
        <v>108</v>
      </c>
      <c r="M10" s="72"/>
    </row>
    <row r="11" spans="2:13">
      <c r="B11" s="5"/>
      <c r="D11" s="11"/>
      <c r="E11" s="11"/>
      <c r="F11" s="11"/>
      <c r="G11" s="11"/>
      <c r="H11" s="14"/>
      <c r="I11" s="15"/>
      <c r="M11" s="72"/>
    </row>
    <row r="12" spans="2:13">
      <c r="B12" s="5" t="s">
        <v>7</v>
      </c>
      <c r="C12" t="s">
        <v>26</v>
      </c>
      <c r="D12" s="11" t="s">
        <v>24</v>
      </c>
      <c r="E12" s="11" t="s">
        <v>27</v>
      </c>
      <c r="F12" s="11" t="s">
        <v>26</v>
      </c>
      <c r="G12" s="11" t="s">
        <v>14</v>
      </c>
      <c r="H12" s="14"/>
      <c r="I12" s="15" t="s">
        <v>15</v>
      </c>
      <c r="J12" s="28">
        <v>54</v>
      </c>
      <c r="K12" s="28">
        <v>108</v>
      </c>
      <c r="L12" s="14" t="s">
        <v>108</v>
      </c>
      <c r="M12" s="72"/>
    </row>
    <row r="13" spans="2:13">
      <c r="B13" s="5"/>
      <c r="C13" t="s">
        <v>26</v>
      </c>
      <c r="D13" s="11" t="s">
        <v>18</v>
      </c>
      <c r="E13" s="11" t="s">
        <v>114</v>
      </c>
      <c r="F13" s="11" t="s">
        <v>26</v>
      </c>
      <c r="G13" s="11" t="s">
        <v>17</v>
      </c>
      <c r="H13" s="14" t="s">
        <v>19</v>
      </c>
      <c r="I13" s="15"/>
      <c r="J13" s="28">
        <v>15.1</v>
      </c>
      <c r="K13" s="28">
        <v>22.65</v>
      </c>
      <c r="L13" s="14" t="s">
        <v>108</v>
      </c>
      <c r="M13" s="72"/>
    </row>
    <row r="14" spans="2:13">
      <c r="B14" s="5"/>
      <c r="C14" t="s">
        <v>26</v>
      </c>
      <c r="D14" s="11" t="s">
        <v>25</v>
      </c>
      <c r="E14" s="11" t="s">
        <v>27</v>
      </c>
      <c r="F14" s="11" t="s">
        <v>26</v>
      </c>
      <c r="G14" s="11" t="s">
        <v>20</v>
      </c>
      <c r="H14" s="14" t="s">
        <v>21</v>
      </c>
      <c r="I14" s="15" t="s">
        <v>22</v>
      </c>
      <c r="J14" s="28">
        <v>19</v>
      </c>
      <c r="K14" s="28">
        <v>45.22</v>
      </c>
      <c r="L14" s="14" t="s">
        <v>108</v>
      </c>
      <c r="M14" s="72"/>
    </row>
    <row r="15" spans="2:13">
      <c r="B15" s="5"/>
      <c r="D15" s="11"/>
      <c r="E15" s="11"/>
      <c r="F15" s="11"/>
      <c r="G15" s="11"/>
      <c r="H15" s="14"/>
      <c r="I15" s="15"/>
      <c r="M15" s="72"/>
    </row>
    <row r="16" spans="2:13">
      <c r="B16" s="5" t="s">
        <v>3</v>
      </c>
      <c r="D16" s="11" t="s">
        <v>80</v>
      </c>
      <c r="E16" s="11">
        <v>2</v>
      </c>
      <c r="F16" s="11" t="s">
        <v>116</v>
      </c>
      <c r="G16" s="11" t="s">
        <v>23</v>
      </c>
      <c r="H16" s="14" t="s">
        <v>32</v>
      </c>
      <c r="I16" s="15" t="s">
        <v>33</v>
      </c>
      <c r="J16" s="28">
        <v>6.2</v>
      </c>
      <c r="K16" s="28">
        <v>12.4</v>
      </c>
      <c r="L16" s="14" t="s">
        <v>108</v>
      </c>
      <c r="M16" s="72"/>
    </row>
    <row r="17" spans="2:13">
      <c r="B17" s="5"/>
      <c r="D17" s="11" t="s">
        <v>34</v>
      </c>
      <c r="E17" s="11">
        <v>2</v>
      </c>
      <c r="F17" s="11" t="s">
        <v>35</v>
      </c>
      <c r="G17" s="11" t="s">
        <v>37</v>
      </c>
      <c r="H17" s="14" t="s">
        <v>36</v>
      </c>
      <c r="I17" s="15"/>
      <c r="J17" s="28">
        <v>0.95</v>
      </c>
      <c r="K17" s="28">
        <v>1.9</v>
      </c>
      <c r="L17" s="14" t="s">
        <v>108</v>
      </c>
      <c r="M17" s="72"/>
    </row>
    <row r="18" spans="2:13">
      <c r="B18" s="5"/>
      <c r="D18" s="11"/>
      <c r="E18" s="11"/>
      <c r="F18" s="11"/>
      <c r="G18" s="11"/>
      <c r="H18" s="14"/>
      <c r="I18" s="15"/>
      <c r="M18" s="72"/>
    </row>
    <row r="19" spans="2:13" ht="31.5">
      <c r="B19" s="5" t="s">
        <v>8</v>
      </c>
      <c r="D19" s="29" t="s">
        <v>117</v>
      </c>
      <c r="E19" s="11"/>
      <c r="F19" s="11"/>
      <c r="G19" s="11" t="s">
        <v>107</v>
      </c>
      <c r="H19" s="11" t="s">
        <v>106</v>
      </c>
      <c r="I19" s="15" t="s">
        <v>105</v>
      </c>
      <c r="K19" s="28">
        <v>8.6</v>
      </c>
      <c r="L19" s="14" t="s">
        <v>108</v>
      </c>
      <c r="M19" s="72"/>
    </row>
    <row r="20" spans="2:13">
      <c r="B20" s="5"/>
      <c r="D20" s="11"/>
      <c r="E20" s="11"/>
      <c r="F20" s="11"/>
      <c r="G20" s="11"/>
      <c r="H20" s="14"/>
      <c r="I20" s="15"/>
      <c r="M20" s="72"/>
    </row>
    <row r="21" spans="2:13">
      <c r="B21" s="4"/>
      <c r="D21" s="11"/>
      <c r="E21" s="11"/>
      <c r="F21" s="11"/>
      <c r="G21" s="11"/>
      <c r="H21" s="14"/>
      <c r="I21" s="15"/>
      <c r="M21" s="72"/>
    </row>
    <row r="22" spans="2:13" ht="16.5" thickBot="1">
      <c r="B22" s="6"/>
      <c r="C22" s="3"/>
      <c r="D22" s="16"/>
      <c r="E22" s="16"/>
      <c r="F22" s="16"/>
      <c r="G22" s="16"/>
      <c r="H22" s="17"/>
      <c r="I22" s="18"/>
      <c r="J22" s="3"/>
      <c r="K22" s="3"/>
      <c r="L22" s="3"/>
      <c r="M22" s="73"/>
    </row>
  </sheetData>
  <mergeCells count="2">
    <mergeCell ref="H4:I4"/>
    <mergeCell ref="M5:M22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62BB-938C-A046-B02A-AF17615F5260}">
  <dimension ref="B2:M22"/>
  <sheetViews>
    <sheetView workbookViewId="0">
      <selection activeCell="B32" sqref="B32"/>
    </sheetView>
  </sheetViews>
  <sheetFormatPr baseColWidth="10" defaultRowHeight="15.75"/>
  <cols>
    <col min="2" max="2" width="14.5" customWidth="1"/>
    <col min="3" max="3" width="17.625" customWidth="1"/>
    <col min="4" max="6" width="29.375" customWidth="1"/>
    <col min="7" max="7" width="25.875" customWidth="1"/>
    <col min="8" max="8" width="31.875" customWidth="1"/>
    <col min="9" max="9" width="50.875" customWidth="1"/>
    <col min="10" max="10" width="33.125" customWidth="1"/>
    <col min="11" max="11" width="35.5" customWidth="1"/>
    <col min="12" max="12" width="36.625" customWidth="1"/>
    <col min="13" max="13" width="25.875" customWidth="1"/>
  </cols>
  <sheetData>
    <row r="2" spans="2:13">
      <c r="B2" s="19" t="s">
        <v>38</v>
      </c>
    </row>
    <row r="3" spans="2:13" ht="16.5" thickBot="1"/>
    <row r="4" spans="2:13" ht="16.5" thickBot="1">
      <c r="B4" s="7"/>
      <c r="C4" s="20"/>
      <c r="D4" s="8" t="s">
        <v>4</v>
      </c>
      <c r="E4" s="8" t="s">
        <v>29</v>
      </c>
      <c r="F4" s="8" t="s">
        <v>30</v>
      </c>
      <c r="G4" s="8" t="s">
        <v>5</v>
      </c>
      <c r="H4" s="71" t="s">
        <v>6</v>
      </c>
      <c r="I4" s="71"/>
      <c r="J4" s="8" t="s">
        <v>110</v>
      </c>
      <c r="K4" s="8" t="s">
        <v>113</v>
      </c>
      <c r="L4" s="8" t="s">
        <v>109</v>
      </c>
      <c r="M4" s="9" t="s">
        <v>16</v>
      </c>
    </row>
    <row r="5" spans="2:13">
      <c r="B5" s="4"/>
      <c r="D5" s="11"/>
      <c r="E5" s="11"/>
      <c r="F5" s="11"/>
      <c r="G5" s="11"/>
      <c r="H5" s="14"/>
      <c r="I5" s="15"/>
      <c r="M5" s="72">
        <v>1</v>
      </c>
    </row>
    <row r="6" spans="2:13">
      <c r="B6" s="5" t="s">
        <v>1</v>
      </c>
      <c r="C6" s="2"/>
      <c r="D6" s="11" t="s">
        <v>73</v>
      </c>
      <c r="E6" s="11"/>
      <c r="F6" s="11"/>
      <c r="G6" s="11"/>
      <c r="H6" s="14" t="s">
        <v>64</v>
      </c>
      <c r="I6" s="15" t="s">
        <v>63</v>
      </c>
      <c r="J6" s="33">
        <v>350</v>
      </c>
      <c r="K6" s="33"/>
      <c r="L6" s="14" t="s">
        <v>108</v>
      </c>
      <c r="M6" s="72"/>
    </row>
    <row r="7" spans="2:13">
      <c r="B7" s="5"/>
      <c r="D7" s="11"/>
      <c r="E7" s="11"/>
      <c r="F7" s="11"/>
      <c r="G7" s="11"/>
      <c r="H7" s="14"/>
      <c r="I7" s="15"/>
      <c r="M7" s="72"/>
    </row>
    <row r="8" spans="2:13">
      <c r="B8" s="5"/>
      <c r="D8" s="11"/>
      <c r="E8" s="11"/>
      <c r="F8" s="11"/>
      <c r="G8" s="11"/>
      <c r="H8" s="14"/>
      <c r="I8" s="15"/>
      <c r="M8" s="72"/>
    </row>
    <row r="9" spans="2:13">
      <c r="B9" s="5" t="s">
        <v>2</v>
      </c>
      <c r="C9" s="26" t="s">
        <v>97</v>
      </c>
      <c r="D9" s="11" t="s">
        <v>43</v>
      </c>
      <c r="E9" s="11"/>
      <c r="F9" s="11" t="s">
        <v>31</v>
      </c>
      <c r="G9" s="11" t="s">
        <v>50</v>
      </c>
      <c r="H9" s="14" t="s">
        <v>39</v>
      </c>
      <c r="I9" s="15" t="s">
        <v>51</v>
      </c>
      <c r="J9" s="28">
        <v>67</v>
      </c>
      <c r="K9" s="27">
        <v>117.25</v>
      </c>
      <c r="L9" s="14" t="s">
        <v>108</v>
      </c>
      <c r="M9" s="72"/>
    </row>
    <row r="10" spans="2:13">
      <c r="B10" s="5"/>
      <c r="C10" s="26" t="s">
        <v>97</v>
      </c>
      <c r="D10" s="11" t="s">
        <v>40</v>
      </c>
      <c r="E10" s="11"/>
      <c r="F10" s="11" t="s">
        <v>31</v>
      </c>
      <c r="G10" s="11" t="s">
        <v>41</v>
      </c>
      <c r="H10" s="14" t="s">
        <v>11</v>
      </c>
      <c r="I10" s="15" t="s">
        <v>42</v>
      </c>
      <c r="J10" s="28">
        <v>110</v>
      </c>
      <c r="K10" s="27">
        <v>220</v>
      </c>
      <c r="L10" s="14" t="s">
        <v>108</v>
      </c>
      <c r="M10" s="72"/>
    </row>
    <row r="11" spans="2:13">
      <c r="B11" s="5"/>
      <c r="D11" s="11"/>
      <c r="E11" s="11"/>
      <c r="F11" s="11"/>
      <c r="G11" s="11"/>
      <c r="H11" s="14"/>
      <c r="I11" s="15"/>
      <c r="M11" s="72"/>
    </row>
    <row r="12" spans="2:13">
      <c r="B12" s="5" t="s">
        <v>7</v>
      </c>
      <c r="D12" s="11" t="s">
        <v>24</v>
      </c>
      <c r="E12" s="11" t="s">
        <v>27</v>
      </c>
      <c r="F12" s="11"/>
      <c r="G12" s="11" t="s">
        <v>14</v>
      </c>
      <c r="H12" s="14"/>
      <c r="I12" s="15" t="s">
        <v>15</v>
      </c>
      <c r="J12" s="28">
        <v>54</v>
      </c>
      <c r="K12" s="28">
        <v>108</v>
      </c>
      <c r="L12" s="14" t="s">
        <v>108</v>
      </c>
      <c r="M12" s="72"/>
    </row>
    <row r="13" spans="2:13">
      <c r="B13" s="5"/>
      <c r="C13" s="2" t="s">
        <v>26</v>
      </c>
      <c r="D13" s="10" t="s">
        <v>18</v>
      </c>
      <c r="E13" s="10" t="s">
        <v>28</v>
      </c>
      <c r="F13" s="10" t="s">
        <v>26</v>
      </c>
      <c r="G13" s="10" t="s">
        <v>17</v>
      </c>
      <c r="H13" s="12" t="s">
        <v>19</v>
      </c>
      <c r="I13" s="13"/>
      <c r="J13" s="32">
        <v>15.1</v>
      </c>
      <c r="K13" s="32">
        <v>22.65</v>
      </c>
      <c r="L13" s="12" t="s">
        <v>108</v>
      </c>
      <c r="M13" s="72"/>
    </row>
    <row r="14" spans="2:13">
      <c r="B14" s="5"/>
      <c r="C14" s="2" t="s">
        <v>26</v>
      </c>
      <c r="D14" s="10" t="s">
        <v>25</v>
      </c>
      <c r="E14" s="10" t="s">
        <v>27</v>
      </c>
      <c r="F14" s="10" t="s">
        <v>26</v>
      </c>
      <c r="G14" s="10" t="s">
        <v>20</v>
      </c>
      <c r="H14" s="12" t="s">
        <v>21</v>
      </c>
      <c r="I14" s="13" t="s">
        <v>22</v>
      </c>
      <c r="J14" s="32">
        <v>19</v>
      </c>
      <c r="K14" s="32">
        <v>45.22</v>
      </c>
      <c r="L14" s="12" t="s">
        <v>108</v>
      </c>
      <c r="M14" s="72"/>
    </row>
    <row r="15" spans="2:13">
      <c r="B15" s="5"/>
      <c r="D15" s="11"/>
      <c r="E15" s="11"/>
      <c r="F15" s="11"/>
      <c r="G15" s="11"/>
      <c r="H15" s="14"/>
      <c r="I15" s="15"/>
      <c r="M15" s="72"/>
    </row>
    <row r="16" spans="2:13">
      <c r="B16" s="5" t="s">
        <v>3</v>
      </c>
      <c r="D16" s="11" t="s">
        <v>34</v>
      </c>
      <c r="E16" s="11">
        <v>2</v>
      </c>
      <c r="F16" s="11" t="s">
        <v>35</v>
      </c>
      <c r="G16" s="11" t="s">
        <v>37</v>
      </c>
      <c r="H16" s="14" t="s">
        <v>36</v>
      </c>
      <c r="I16" s="15"/>
      <c r="J16" s="28">
        <v>0.95</v>
      </c>
      <c r="K16" s="28">
        <v>1.9</v>
      </c>
      <c r="L16" s="14" t="s">
        <v>108</v>
      </c>
      <c r="M16" s="72"/>
    </row>
    <row r="17" spans="2:13">
      <c r="B17" s="5"/>
      <c r="D17" s="11" t="s">
        <v>123</v>
      </c>
      <c r="E17" s="11">
        <v>2</v>
      </c>
      <c r="F17" s="11" t="s">
        <v>120</v>
      </c>
      <c r="G17" s="11" t="s">
        <v>119</v>
      </c>
      <c r="H17" s="14" t="s">
        <v>121</v>
      </c>
      <c r="I17" s="15" t="s">
        <v>122</v>
      </c>
      <c r="J17" s="28">
        <f>0.157+0.08</f>
        <v>0.23699999999999999</v>
      </c>
      <c r="K17" s="28">
        <f>J17*2</f>
        <v>0.47399999999999998</v>
      </c>
      <c r="L17" t="s">
        <v>108</v>
      </c>
      <c r="M17" s="72"/>
    </row>
    <row r="18" spans="2:13">
      <c r="B18" s="5"/>
      <c r="D18" s="11"/>
      <c r="E18" s="11"/>
      <c r="F18" s="11"/>
      <c r="G18" s="11"/>
      <c r="H18" s="14"/>
      <c r="I18" s="15"/>
      <c r="M18" s="72"/>
    </row>
    <row r="19" spans="2:13" ht="47.25">
      <c r="B19" s="5" t="s">
        <v>8</v>
      </c>
      <c r="D19" s="29" t="s">
        <v>117</v>
      </c>
      <c r="E19" s="11"/>
      <c r="F19" s="11"/>
      <c r="G19" s="11" t="s">
        <v>107</v>
      </c>
      <c r="H19" s="11" t="s">
        <v>106</v>
      </c>
      <c r="I19" s="15" t="s">
        <v>105</v>
      </c>
      <c r="K19" s="28">
        <v>8.6</v>
      </c>
      <c r="L19" s="14" t="s">
        <v>108</v>
      </c>
      <c r="M19" s="72"/>
    </row>
    <row r="20" spans="2:13">
      <c r="B20" s="5"/>
      <c r="D20" s="11"/>
      <c r="E20" s="11"/>
      <c r="F20" s="11"/>
      <c r="G20" s="11"/>
      <c r="H20" s="14"/>
      <c r="I20" s="15"/>
      <c r="M20" s="72"/>
    </row>
    <row r="21" spans="2:13">
      <c r="B21" s="4"/>
      <c r="D21" s="11"/>
      <c r="E21" s="11"/>
      <c r="F21" s="11"/>
      <c r="G21" s="11"/>
      <c r="H21" s="14"/>
      <c r="I21" s="15"/>
      <c r="M21" s="72"/>
    </row>
    <row r="22" spans="2:13" ht="16.5" thickBot="1">
      <c r="B22" s="6"/>
      <c r="C22" s="3"/>
      <c r="D22" s="16"/>
      <c r="E22" s="16"/>
      <c r="F22" s="16"/>
      <c r="G22" s="16"/>
      <c r="H22" s="17"/>
      <c r="I22" s="18"/>
      <c r="J22" s="3"/>
      <c r="K22" s="3"/>
      <c r="L22" s="3"/>
      <c r="M22" s="73"/>
    </row>
  </sheetData>
  <mergeCells count="2">
    <mergeCell ref="H4:I4"/>
    <mergeCell ref="M5:M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5CCC-889F-8B45-9E9C-2B1DB2B548FE}">
  <dimension ref="B2:M33"/>
  <sheetViews>
    <sheetView workbookViewId="0">
      <selection activeCell="D18" sqref="D18"/>
    </sheetView>
  </sheetViews>
  <sheetFormatPr baseColWidth="10" defaultRowHeight="15.75"/>
  <cols>
    <col min="2" max="2" width="14.5" customWidth="1"/>
    <col min="4" max="6" width="29.375" customWidth="1"/>
    <col min="7" max="7" width="25.875" customWidth="1"/>
    <col min="8" max="8" width="31.875" customWidth="1"/>
    <col min="9" max="9" width="50.875" customWidth="1"/>
    <col min="10" max="10" width="28.875" customWidth="1"/>
    <col min="11" max="11" width="29.875" customWidth="1"/>
    <col min="12" max="12" width="30.625" customWidth="1"/>
    <col min="13" max="13" width="25.875" customWidth="1"/>
  </cols>
  <sheetData>
    <row r="2" spans="2:13">
      <c r="B2" s="19" t="s">
        <v>47</v>
      </c>
    </row>
    <row r="3" spans="2:13" ht="16.5" thickBot="1"/>
    <row r="4" spans="2:13" ht="16.5" thickBot="1">
      <c r="B4" s="7"/>
      <c r="C4" s="20"/>
      <c r="D4" s="8" t="s">
        <v>4</v>
      </c>
      <c r="E4" s="8" t="s">
        <v>29</v>
      </c>
      <c r="F4" s="8" t="s">
        <v>30</v>
      </c>
      <c r="G4" s="8" t="s">
        <v>5</v>
      </c>
      <c r="H4" s="71" t="s">
        <v>6</v>
      </c>
      <c r="I4" s="71"/>
      <c r="J4" s="8" t="s">
        <v>110</v>
      </c>
      <c r="K4" s="8" t="s">
        <v>113</v>
      </c>
      <c r="L4" s="8" t="s">
        <v>109</v>
      </c>
      <c r="M4" s="9" t="s">
        <v>16</v>
      </c>
    </row>
    <row r="5" spans="2:13">
      <c r="B5" s="4"/>
      <c r="D5" s="11"/>
      <c r="E5" s="11"/>
      <c r="F5" s="11"/>
      <c r="G5" s="11"/>
      <c r="H5" s="14"/>
      <c r="I5" s="15"/>
      <c r="M5" s="72">
        <v>5</v>
      </c>
    </row>
    <row r="6" spans="2:13">
      <c r="B6" s="5" t="s">
        <v>1</v>
      </c>
      <c r="D6" s="11" t="s">
        <v>67</v>
      </c>
      <c r="E6" s="11"/>
      <c r="F6" s="11"/>
      <c r="G6" s="11"/>
      <c r="H6" s="14" t="s">
        <v>69</v>
      </c>
      <c r="I6" s="15" t="s">
        <v>68</v>
      </c>
      <c r="J6" s="33">
        <v>380</v>
      </c>
      <c r="K6" s="33"/>
      <c r="L6" s="14" t="s">
        <v>108</v>
      </c>
      <c r="M6" s="72"/>
    </row>
    <row r="7" spans="2:13">
      <c r="B7" s="5"/>
      <c r="C7" s="21" t="s">
        <v>66</v>
      </c>
      <c r="D7" s="22" t="s">
        <v>72</v>
      </c>
      <c r="E7" s="22"/>
      <c r="F7" s="22"/>
      <c r="G7" s="22"/>
      <c r="H7" s="23"/>
      <c r="I7" s="24" t="s">
        <v>65</v>
      </c>
      <c r="J7" s="38">
        <v>450</v>
      </c>
      <c r="K7" s="38"/>
      <c r="L7" s="12" t="s">
        <v>108</v>
      </c>
      <c r="M7" s="72"/>
    </row>
    <row r="8" spans="2:13">
      <c r="B8" s="5"/>
      <c r="D8" s="11"/>
      <c r="E8" s="11"/>
      <c r="F8" s="11"/>
      <c r="G8" s="11"/>
      <c r="H8" s="14"/>
      <c r="I8" s="15"/>
      <c r="M8" s="72"/>
    </row>
    <row r="9" spans="2:13">
      <c r="B9" s="5" t="s">
        <v>2</v>
      </c>
      <c r="D9" s="11" t="s">
        <v>85</v>
      </c>
      <c r="E9" s="11"/>
      <c r="F9" s="11" t="s">
        <v>31</v>
      </c>
      <c r="G9" s="11" t="s">
        <v>45</v>
      </c>
      <c r="H9" s="14" t="s">
        <v>11</v>
      </c>
      <c r="I9" s="15" t="s">
        <v>12</v>
      </c>
      <c r="J9" s="33">
        <v>80</v>
      </c>
      <c r="K9" s="33">
        <v>80</v>
      </c>
      <c r="L9" s="14" t="s">
        <v>108</v>
      </c>
      <c r="M9" s="72"/>
    </row>
    <row r="10" spans="2:13">
      <c r="B10" s="5"/>
      <c r="D10" s="11"/>
      <c r="E10" s="11"/>
      <c r="F10" s="11"/>
      <c r="G10" s="11"/>
      <c r="H10" s="14"/>
      <c r="I10" s="15"/>
      <c r="M10" s="72"/>
    </row>
    <row r="11" spans="2:13">
      <c r="B11" s="5"/>
      <c r="D11" s="11"/>
      <c r="E11" s="11"/>
      <c r="F11" s="11"/>
      <c r="G11" s="11"/>
      <c r="H11" s="14"/>
      <c r="I11" s="15"/>
      <c r="M11" s="72"/>
    </row>
    <row r="12" spans="2:13">
      <c r="B12" s="5" t="s">
        <v>7</v>
      </c>
      <c r="D12" s="11" t="s">
        <v>24</v>
      </c>
      <c r="E12" s="11" t="s">
        <v>46</v>
      </c>
      <c r="F12" s="11" t="s">
        <v>26</v>
      </c>
      <c r="G12" s="11" t="s">
        <v>14</v>
      </c>
      <c r="H12" s="14"/>
      <c r="I12" s="15" t="s">
        <v>15</v>
      </c>
      <c r="J12" s="28">
        <v>54</v>
      </c>
      <c r="K12" s="28">
        <v>108</v>
      </c>
      <c r="L12" s="14" t="s">
        <v>108</v>
      </c>
      <c r="M12" s="72"/>
    </row>
    <row r="13" spans="2:13">
      <c r="B13" s="5"/>
      <c r="D13" s="11"/>
      <c r="E13" s="11"/>
      <c r="F13" s="11"/>
      <c r="G13" s="11"/>
      <c r="H13" s="14"/>
      <c r="I13" s="15"/>
      <c r="M13" s="72"/>
    </row>
    <row r="14" spans="2:13">
      <c r="B14" s="5"/>
      <c r="D14" s="11"/>
      <c r="E14" s="11"/>
      <c r="F14" s="11"/>
      <c r="G14" s="11"/>
      <c r="H14" s="14"/>
      <c r="I14" s="15"/>
      <c r="M14" s="72"/>
    </row>
    <row r="15" spans="2:13">
      <c r="B15" s="5" t="s">
        <v>3</v>
      </c>
      <c r="D15" s="11" t="s">
        <v>53</v>
      </c>
      <c r="E15" s="11">
        <v>2</v>
      </c>
      <c r="F15" s="11" t="s">
        <v>35</v>
      </c>
      <c r="G15" s="11" t="s">
        <v>37</v>
      </c>
      <c r="H15" s="14" t="s">
        <v>54</v>
      </c>
      <c r="I15" s="15"/>
      <c r="J15" s="33">
        <v>0.56999999999999995</v>
      </c>
      <c r="K15" s="33">
        <f>J15*2</f>
        <v>1.1399999999999999</v>
      </c>
      <c r="L15" s="14" t="s">
        <v>108</v>
      </c>
      <c r="M15" s="72"/>
    </row>
    <row r="16" spans="2:13">
      <c r="B16" s="5"/>
      <c r="C16" s="21" t="s">
        <v>66</v>
      </c>
      <c r="D16" s="11" t="s">
        <v>75</v>
      </c>
      <c r="E16" s="11">
        <v>4</v>
      </c>
      <c r="F16" s="11"/>
      <c r="G16" s="11" t="s">
        <v>77</v>
      </c>
      <c r="H16" s="14" t="s">
        <v>76</v>
      </c>
      <c r="I16" s="15"/>
      <c r="J16" s="33">
        <v>1.77</v>
      </c>
      <c r="K16" s="33">
        <f>J16*4</f>
        <v>7.08</v>
      </c>
      <c r="L16" s="14" t="s">
        <v>108</v>
      </c>
      <c r="M16" s="72"/>
    </row>
    <row r="17" spans="2:13">
      <c r="B17" s="5"/>
      <c r="D17" s="11"/>
      <c r="E17" s="11"/>
      <c r="F17" s="11"/>
      <c r="G17" s="11"/>
      <c r="H17" s="14"/>
      <c r="I17" s="15"/>
      <c r="J17" s="33"/>
      <c r="K17" s="33"/>
      <c r="M17" s="72"/>
    </row>
    <row r="18" spans="2:13" ht="47.25">
      <c r="B18" s="5" t="s">
        <v>8</v>
      </c>
      <c r="D18" s="29" t="s">
        <v>117</v>
      </c>
      <c r="E18" s="11"/>
      <c r="F18" s="11"/>
      <c r="G18" s="11" t="s">
        <v>107</v>
      </c>
      <c r="H18" s="11" t="s">
        <v>106</v>
      </c>
      <c r="I18" s="15" t="s">
        <v>105</v>
      </c>
      <c r="K18" s="28">
        <v>8.6</v>
      </c>
      <c r="L18" s="14" t="s">
        <v>108</v>
      </c>
      <c r="M18" s="72"/>
    </row>
    <row r="19" spans="2:13">
      <c r="B19" s="5"/>
      <c r="D19" s="11"/>
      <c r="E19" s="11"/>
      <c r="F19" s="11"/>
      <c r="G19" s="11"/>
      <c r="H19" s="14"/>
      <c r="I19" s="15"/>
      <c r="M19" s="72"/>
    </row>
    <row r="20" spans="2:13">
      <c r="B20" s="4"/>
      <c r="D20" s="11"/>
      <c r="E20" s="11"/>
      <c r="F20" s="11"/>
      <c r="G20" s="11"/>
      <c r="H20" s="14"/>
      <c r="I20" s="15"/>
      <c r="M20" s="72"/>
    </row>
    <row r="21" spans="2:13" ht="16.5" thickBot="1">
      <c r="B21" s="6"/>
      <c r="C21" s="3"/>
      <c r="D21" s="16"/>
      <c r="E21" s="16"/>
      <c r="F21" s="16"/>
      <c r="G21" s="16"/>
      <c r="H21" s="17"/>
      <c r="I21" s="18"/>
      <c r="J21" s="3"/>
      <c r="K21" s="3"/>
      <c r="L21" s="3"/>
      <c r="M21" s="73"/>
    </row>
    <row r="26" spans="2:13">
      <c r="B26" s="1" t="s">
        <v>57</v>
      </c>
    </row>
    <row r="27" spans="2:13">
      <c r="C27" t="s">
        <v>58</v>
      </c>
    </row>
    <row r="28" spans="2:13">
      <c r="D28" t="s">
        <v>56</v>
      </c>
    </row>
    <row r="29" spans="2:13">
      <c r="D29" t="s">
        <v>55</v>
      </c>
    </row>
    <row r="31" spans="2:13">
      <c r="C31" t="s">
        <v>59</v>
      </c>
      <c r="D31" t="s">
        <v>60</v>
      </c>
    </row>
    <row r="32" spans="2:13">
      <c r="D32" t="s">
        <v>61</v>
      </c>
    </row>
    <row r="33" spans="4:4">
      <c r="D33" t="s">
        <v>62</v>
      </c>
    </row>
  </sheetData>
  <mergeCells count="2">
    <mergeCell ref="H4:I4"/>
    <mergeCell ref="M5:M21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A93D-A7AA-8545-8C87-1502F868CF8D}">
  <dimension ref="B2:M21"/>
  <sheetViews>
    <sheetView workbookViewId="0">
      <selection activeCell="D18" sqref="D18"/>
    </sheetView>
  </sheetViews>
  <sheetFormatPr baseColWidth="10" defaultRowHeight="15.75"/>
  <cols>
    <col min="2" max="2" width="14.5" customWidth="1"/>
    <col min="4" max="4" width="31.375" customWidth="1"/>
    <col min="5" max="6" width="29.375" customWidth="1"/>
    <col min="7" max="7" width="25.875" customWidth="1"/>
    <col min="8" max="8" width="31.875" customWidth="1"/>
    <col min="9" max="9" width="50.875" customWidth="1"/>
    <col min="10" max="10" width="31.5" customWidth="1"/>
    <col min="11" max="11" width="29.875" customWidth="1"/>
    <col min="12" max="12" width="33.625" customWidth="1"/>
    <col min="13" max="13" width="25.875" customWidth="1"/>
  </cols>
  <sheetData>
    <row r="2" spans="2:13">
      <c r="B2" s="19" t="s">
        <v>104</v>
      </c>
    </row>
    <row r="3" spans="2:13" ht="16.5" thickBot="1"/>
    <row r="4" spans="2:13" ht="16.5" thickBot="1">
      <c r="B4" s="39"/>
      <c r="C4" s="40"/>
      <c r="D4" s="35" t="s">
        <v>4</v>
      </c>
      <c r="E4" s="35" t="s">
        <v>29</v>
      </c>
      <c r="F4" s="35" t="s">
        <v>30</v>
      </c>
      <c r="G4" s="35" t="s">
        <v>5</v>
      </c>
      <c r="H4" s="74" t="s">
        <v>6</v>
      </c>
      <c r="I4" s="74"/>
      <c r="J4" s="35" t="s">
        <v>110</v>
      </c>
      <c r="K4" s="35" t="s">
        <v>113</v>
      </c>
      <c r="L4" s="35" t="s">
        <v>109</v>
      </c>
      <c r="M4" s="41" t="s">
        <v>16</v>
      </c>
    </row>
    <row r="5" spans="2:13">
      <c r="B5" s="39"/>
      <c r="C5" s="42"/>
      <c r="D5" s="43"/>
      <c r="E5" s="43"/>
      <c r="F5" s="43"/>
      <c r="G5" s="43"/>
      <c r="H5" s="44"/>
      <c r="I5" s="45"/>
      <c r="J5" s="43"/>
      <c r="K5" s="43"/>
      <c r="L5" s="42"/>
      <c r="M5" s="75">
        <v>0</v>
      </c>
    </row>
    <row r="6" spans="2:13">
      <c r="B6" s="5" t="s">
        <v>1</v>
      </c>
      <c r="D6" s="11" t="s">
        <v>72</v>
      </c>
      <c r="E6" s="11"/>
      <c r="F6" s="11"/>
      <c r="G6" s="11"/>
      <c r="H6" s="14"/>
      <c r="I6" s="15" t="s">
        <v>65</v>
      </c>
      <c r="J6" s="36">
        <v>600</v>
      </c>
      <c r="K6" s="11"/>
      <c r="L6" t="s">
        <v>108</v>
      </c>
      <c r="M6" s="72"/>
    </row>
    <row r="7" spans="2:13">
      <c r="B7" s="5"/>
      <c r="D7" s="11"/>
      <c r="E7" s="11"/>
      <c r="F7" s="11"/>
      <c r="G7" s="11"/>
      <c r="H7" s="14"/>
      <c r="I7" s="15"/>
      <c r="J7" s="11"/>
      <c r="K7" s="11"/>
      <c r="M7" s="72"/>
    </row>
    <row r="8" spans="2:13">
      <c r="B8" s="5"/>
      <c r="D8" s="11"/>
      <c r="E8" s="11"/>
      <c r="F8" s="11"/>
      <c r="G8" s="11"/>
      <c r="H8" s="14"/>
      <c r="I8" s="15"/>
      <c r="J8" s="11"/>
      <c r="K8" s="11"/>
      <c r="M8" s="72"/>
    </row>
    <row r="9" spans="2:13">
      <c r="B9" s="5" t="s">
        <v>2</v>
      </c>
      <c r="D9" s="11" t="s">
        <v>52</v>
      </c>
      <c r="E9" s="11"/>
      <c r="F9" s="11" t="s">
        <v>31</v>
      </c>
      <c r="G9" s="11" t="s">
        <v>14</v>
      </c>
      <c r="H9" s="14"/>
      <c r="I9" s="15" t="s">
        <v>15</v>
      </c>
      <c r="J9" s="36">
        <v>250</v>
      </c>
      <c r="K9" s="36">
        <v>500</v>
      </c>
      <c r="L9" t="s">
        <v>108</v>
      </c>
      <c r="M9" s="72"/>
    </row>
    <row r="10" spans="2:13">
      <c r="B10" s="5"/>
      <c r="D10" s="11"/>
      <c r="E10" s="11"/>
      <c r="F10" s="11"/>
      <c r="G10" s="11"/>
      <c r="H10" s="14"/>
      <c r="I10" s="15"/>
      <c r="J10" s="11"/>
      <c r="K10" s="11"/>
      <c r="M10" s="72"/>
    </row>
    <row r="11" spans="2:13">
      <c r="B11" s="5"/>
      <c r="D11" s="11"/>
      <c r="E11" s="11"/>
      <c r="F11" s="11"/>
      <c r="G11" s="11"/>
      <c r="H11" s="14"/>
      <c r="I11" s="15"/>
      <c r="J11" s="11"/>
      <c r="K11" s="11"/>
      <c r="M11" s="72"/>
    </row>
    <row r="12" spans="2:13">
      <c r="B12" s="5" t="s">
        <v>7</v>
      </c>
      <c r="D12" s="11" t="s">
        <v>49</v>
      </c>
      <c r="E12" s="11" t="s">
        <v>46</v>
      </c>
      <c r="F12" s="11" t="s">
        <v>26</v>
      </c>
      <c r="G12" s="11" t="s">
        <v>14</v>
      </c>
      <c r="H12" s="14"/>
      <c r="I12" s="15" t="s">
        <v>15</v>
      </c>
      <c r="J12" s="37">
        <v>54</v>
      </c>
      <c r="K12" s="37">
        <v>108</v>
      </c>
      <c r="L12" t="s">
        <v>108</v>
      </c>
      <c r="M12" s="72"/>
    </row>
    <row r="13" spans="2:13">
      <c r="B13" s="5"/>
      <c r="D13" s="11"/>
      <c r="E13" s="11"/>
      <c r="F13" s="11"/>
      <c r="G13" s="11"/>
      <c r="H13" s="14"/>
      <c r="I13" s="15"/>
      <c r="J13" s="11"/>
      <c r="K13" s="11"/>
      <c r="M13" s="72"/>
    </row>
    <row r="14" spans="2:13">
      <c r="B14" s="5"/>
      <c r="D14" s="11"/>
      <c r="E14" s="11"/>
      <c r="F14" s="11"/>
      <c r="G14" s="11"/>
      <c r="H14" s="14"/>
      <c r="I14" s="15"/>
      <c r="J14" s="11"/>
      <c r="K14" s="11"/>
      <c r="M14" s="72"/>
    </row>
    <row r="15" spans="2:13">
      <c r="B15" s="5" t="s">
        <v>3</v>
      </c>
      <c r="D15" s="11" t="s">
        <v>53</v>
      </c>
      <c r="E15" s="11">
        <v>2</v>
      </c>
      <c r="F15" s="11" t="s">
        <v>35</v>
      </c>
      <c r="G15" s="11" t="s">
        <v>37</v>
      </c>
      <c r="H15" s="14" t="s">
        <v>54</v>
      </c>
      <c r="I15" s="15"/>
      <c r="J15" s="36">
        <v>0.56999999999999995</v>
      </c>
      <c r="K15" s="36">
        <f>J15*2</f>
        <v>1.1399999999999999</v>
      </c>
      <c r="L15" t="s">
        <v>108</v>
      </c>
      <c r="M15" s="72"/>
    </row>
    <row r="16" spans="2:13" ht="17.100000000000001" customHeight="1">
      <c r="B16" s="5"/>
      <c r="C16" s="21" t="s">
        <v>66</v>
      </c>
      <c r="D16" s="11" t="s">
        <v>75</v>
      </c>
      <c r="E16" s="11">
        <v>4</v>
      </c>
      <c r="F16" s="11"/>
      <c r="G16" s="11" t="s">
        <v>77</v>
      </c>
      <c r="H16" s="14" t="s">
        <v>76</v>
      </c>
      <c r="I16" s="15"/>
      <c r="J16" s="36">
        <v>1.77</v>
      </c>
      <c r="K16" s="36">
        <f>J16*4</f>
        <v>7.08</v>
      </c>
      <c r="L16" t="s">
        <v>108</v>
      </c>
      <c r="M16" s="72"/>
    </row>
    <row r="17" spans="2:13" ht="17.100000000000001" customHeight="1">
      <c r="B17" s="5"/>
      <c r="D17" s="11"/>
      <c r="E17" s="11"/>
      <c r="F17" s="11"/>
      <c r="G17" s="11"/>
      <c r="H17" s="14"/>
      <c r="I17" s="15"/>
      <c r="J17" s="11"/>
      <c r="K17" s="11"/>
      <c r="M17" s="72"/>
    </row>
    <row r="18" spans="2:13" ht="31.5">
      <c r="B18" s="5" t="s">
        <v>8</v>
      </c>
      <c r="D18" s="29" t="s">
        <v>117</v>
      </c>
      <c r="E18" s="11"/>
      <c r="F18" s="11"/>
      <c r="G18" s="11" t="s">
        <v>107</v>
      </c>
      <c r="H18" s="11" t="s">
        <v>106</v>
      </c>
      <c r="I18" s="15" t="s">
        <v>105</v>
      </c>
      <c r="J18" s="11"/>
      <c r="K18" s="37">
        <v>8.6</v>
      </c>
      <c r="L18" t="s">
        <v>108</v>
      </c>
      <c r="M18" s="72"/>
    </row>
    <row r="19" spans="2:13">
      <c r="B19" s="5"/>
      <c r="D19" s="11"/>
      <c r="E19" s="11"/>
      <c r="F19" s="11"/>
      <c r="G19" s="11"/>
      <c r="H19" s="14"/>
      <c r="I19" s="15"/>
      <c r="J19" s="11"/>
      <c r="K19" s="11"/>
      <c r="M19" s="72"/>
    </row>
    <row r="20" spans="2:13">
      <c r="B20" s="4"/>
      <c r="D20" s="11"/>
      <c r="E20" s="11"/>
      <c r="F20" s="11"/>
      <c r="G20" s="11"/>
      <c r="H20" s="14"/>
      <c r="I20" s="15"/>
      <c r="J20" s="11"/>
      <c r="K20" s="11"/>
      <c r="M20" s="72"/>
    </row>
    <row r="21" spans="2:13" ht="16.5" thickBot="1">
      <c r="B21" s="6"/>
      <c r="C21" s="3"/>
      <c r="D21" s="16"/>
      <c r="E21" s="16"/>
      <c r="F21" s="16"/>
      <c r="G21" s="16"/>
      <c r="H21" s="17"/>
      <c r="I21" s="18"/>
      <c r="J21" s="16"/>
      <c r="K21" s="16"/>
      <c r="L21" s="3"/>
      <c r="M21" s="73"/>
    </row>
  </sheetData>
  <mergeCells count="2">
    <mergeCell ref="H4:I4"/>
    <mergeCell ref="M5:M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F331-652C-C049-BB7C-27E0FE24969A}">
  <dimension ref="B2:M18"/>
  <sheetViews>
    <sheetView workbookViewId="0">
      <selection activeCell="D13" sqref="D13"/>
    </sheetView>
  </sheetViews>
  <sheetFormatPr baseColWidth="10" defaultRowHeight="15.75"/>
  <cols>
    <col min="2" max="2" width="14.5" customWidth="1"/>
    <col min="3" max="3" width="13" customWidth="1"/>
    <col min="4" max="6" width="29.375" customWidth="1"/>
    <col min="7" max="7" width="25.875" customWidth="1"/>
    <col min="8" max="8" width="31.875" customWidth="1"/>
    <col min="9" max="9" width="33" customWidth="1"/>
    <col min="10" max="10" width="28.5" customWidth="1"/>
    <col min="11" max="11" width="27.125" customWidth="1"/>
    <col min="12" max="12" width="28.875" customWidth="1"/>
    <col min="13" max="13" width="25.875" customWidth="1"/>
  </cols>
  <sheetData>
    <row r="2" spans="2:13">
      <c r="B2" s="19" t="s">
        <v>103</v>
      </c>
    </row>
    <row r="3" spans="2:13" ht="16.5" thickBot="1"/>
    <row r="4" spans="2:13" ht="16.5" thickBot="1">
      <c r="B4" s="39"/>
      <c r="C4" s="40"/>
      <c r="D4" s="35" t="s">
        <v>4</v>
      </c>
      <c r="E4" s="35" t="s">
        <v>29</v>
      </c>
      <c r="F4" s="35" t="s">
        <v>30</v>
      </c>
      <c r="G4" s="35" t="s">
        <v>5</v>
      </c>
      <c r="H4" s="74" t="s">
        <v>6</v>
      </c>
      <c r="I4" s="74"/>
      <c r="J4" s="35" t="s">
        <v>110</v>
      </c>
      <c r="K4" s="35" t="s">
        <v>113</v>
      </c>
      <c r="L4" s="35" t="s">
        <v>109</v>
      </c>
      <c r="M4" s="41" t="s">
        <v>16</v>
      </c>
    </row>
    <row r="5" spans="2:13">
      <c r="B5" s="39"/>
      <c r="C5" s="42"/>
      <c r="D5" s="43"/>
      <c r="E5" s="43"/>
      <c r="F5" s="43"/>
      <c r="G5" s="43"/>
      <c r="H5" s="44"/>
      <c r="I5" s="43"/>
      <c r="J5" s="42"/>
      <c r="K5" s="43"/>
      <c r="L5" s="42"/>
      <c r="M5" s="75">
        <v>0</v>
      </c>
    </row>
    <row r="6" spans="2:13">
      <c r="B6" s="5" t="s">
        <v>1</v>
      </c>
      <c r="D6" s="11" t="s">
        <v>70</v>
      </c>
      <c r="E6" s="11"/>
      <c r="F6" s="11"/>
      <c r="G6" s="11"/>
      <c r="H6" s="14"/>
      <c r="I6" s="11" t="s">
        <v>71</v>
      </c>
      <c r="J6" s="33">
        <v>270</v>
      </c>
      <c r="K6" s="36"/>
      <c r="L6" t="s">
        <v>108</v>
      </c>
      <c r="M6" s="72"/>
    </row>
    <row r="7" spans="2:13">
      <c r="B7" s="5"/>
      <c r="D7" s="11"/>
      <c r="E7" s="11"/>
      <c r="F7" s="11"/>
      <c r="G7" s="11"/>
      <c r="H7" s="14"/>
      <c r="I7" s="11"/>
      <c r="J7" s="33"/>
      <c r="K7" s="36"/>
      <c r="M7" s="72"/>
    </row>
    <row r="8" spans="2:13">
      <c r="B8" s="5"/>
      <c r="D8" s="11"/>
      <c r="E8" s="11"/>
      <c r="F8" s="11"/>
      <c r="G8" s="11"/>
      <c r="H8" s="14"/>
      <c r="I8" s="11"/>
      <c r="J8" s="33"/>
      <c r="K8" s="36"/>
      <c r="M8" s="72"/>
    </row>
    <row r="9" spans="2:13">
      <c r="B9" s="5" t="s">
        <v>2</v>
      </c>
      <c r="C9" s="26"/>
      <c r="D9" s="11" t="s">
        <v>44</v>
      </c>
      <c r="E9" s="11"/>
      <c r="F9" s="11" t="s">
        <v>31</v>
      </c>
      <c r="G9" s="11" t="s">
        <v>98</v>
      </c>
      <c r="H9" s="14" t="s">
        <v>11</v>
      </c>
      <c r="I9" s="11" t="s">
        <v>99</v>
      </c>
      <c r="J9" s="33">
        <v>80</v>
      </c>
      <c r="K9" s="36">
        <v>80</v>
      </c>
      <c r="L9" t="s">
        <v>108</v>
      </c>
      <c r="M9" s="72"/>
    </row>
    <row r="10" spans="2:13">
      <c r="B10" s="5"/>
      <c r="D10" s="11"/>
      <c r="E10" s="11"/>
      <c r="F10" s="11"/>
      <c r="G10" s="11"/>
      <c r="H10" s="14"/>
      <c r="I10" s="11"/>
      <c r="J10" s="33"/>
      <c r="K10" s="36"/>
      <c r="M10" s="72"/>
    </row>
    <row r="11" spans="2:13">
      <c r="B11" s="5"/>
      <c r="D11" s="11"/>
      <c r="E11" s="11"/>
      <c r="F11" s="11"/>
      <c r="G11" s="11"/>
      <c r="H11" s="14"/>
      <c r="I11" s="11"/>
      <c r="J11" s="33"/>
      <c r="K11" s="36"/>
      <c r="M11" s="72"/>
    </row>
    <row r="12" spans="2:13">
      <c r="B12" s="5" t="s">
        <v>3</v>
      </c>
      <c r="D12" s="11" t="s">
        <v>79</v>
      </c>
      <c r="E12" s="11">
        <v>2</v>
      </c>
      <c r="F12" s="11" t="s">
        <v>31</v>
      </c>
      <c r="G12" s="11" t="s">
        <v>23</v>
      </c>
      <c r="H12" s="14" t="s">
        <v>32</v>
      </c>
      <c r="I12" s="11" t="s">
        <v>33</v>
      </c>
      <c r="J12" s="33">
        <v>3.46</v>
      </c>
      <c r="K12" s="36">
        <f>J12*2</f>
        <v>6.92</v>
      </c>
      <c r="L12" t="s">
        <v>108</v>
      </c>
      <c r="M12" s="72"/>
    </row>
    <row r="13" spans="2:13">
      <c r="B13" s="5"/>
      <c r="D13" s="11" t="s">
        <v>74</v>
      </c>
      <c r="E13" s="11">
        <v>2</v>
      </c>
      <c r="F13" s="11"/>
      <c r="G13" s="11" t="s">
        <v>77</v>
      </c>
      <c r="H13" s="14" t="s">
        <v>78</v>
      </c>
      <c r="I13" s="11"/>
      <c r="J13" s="33">
        <v>0.6</v>
      </c>
      <c r="K13" s="36">
        <f>J13*2</f>
        <v>1.2</v>
      </c>
      <c r="L13" t="s">
        <v>108</v>
      </c>
      <c r="M13" s="72"/>
    </row>
    <row r="14" spans="2:13">
      <c r="B14" s="5"/>
      <c r="D14" s="11"/>
      <c r="E14" s="11"/>
      <c r="F14" s="11"/>
      <c r="G14" s="11"/>
      <c r="H14" s="14"/>
      <c r="I14" s="11"/>
      <c r="J14" s="33"/>
      <c r="K14" s="36"/>
      <c r="M14" s="72"/>
    </row>
    <row r="15" spans="2:13" ht="47.25">
      <c r="B15" s="5" t="s">
        <v>8</v>
      </c>
      <c r="D15" s="29" t="s">
        <v>117</v>
      </c>
      <c r="E15" s="11"/>
      <c r="F15" s="11"/>
      <c r="G15" s="11" t="s">
        <v>107</v>
      </c>
      <c r="H15" s="14" t="s">
        <v>106</v>
      </c>
      <c r="I15" s="11" t="s">
        <v>105</v>
      </c>
      <c r="K15" s="37">
        <v>8.6</v>
      </c>
      <c r="L15" t="s">
        <v>108</v>
      </c>
      <c r="M15" s="72"/>
    </row>
    <row r="16" spans="2:13">
      <c r="B16" s="5"/>
      <c r="D16" s="11"/>
      <c r="E16" s="11"/>
      <c r="F16" s="11"/>
      <c r="G16" s="11"/>
      <c r="H16" s="14"/>
      <c r="I16" s="11"/>
      <c r="K16" s="11"/>
      <c r="M16" s="72"/>
    </row>
    <row r="17" spans="2:13">
      <c r="B17" s="4"/>
      <c r="D17" s="11"/>
      <c r="E17" s="11"/>
      <c r="F17" s="11"/>
      <c r="G17" s="11"/>
      <c r="H17" s="14"/>
      <c r="I17" s="11"/>
      <c r="K17" s="11"/>
      <c r="M17" s="72"/>
    </row>
    <row r="18" spans="2:13" ht="16.5" thickBot="1">
      <c r="B18" s="6"/>
      <c r="C18" s="3"/>
      <c r="D18" s="16"/>
      <c r="E18" s="16"/>
      <c r="F18" s="16"/>
      <c r="G18" s="16"/>
      <c r="H18" s="17"/>
      <c r="I18" s="16"/>
      <c r="J18" s="3"/>
      <c r="K18" s="16"/>
      <c r="L18" s="3"/>
      <c r="M18" s="73"/>
    </row>
  </sheetData>
  <mergeCells count="2">
    <mergeCell ref="H4:I4"/>
    <mergeCell ref="M5:M18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FDEF-3E61-774D-9C7A-A3B4AC3CF9B0}">
  <dimension ref="B2:M26"/>
  <sheetViews>
    <sheetView workbookViewId="0">
      <selection activeCell="G13" sqref="G13"/>
    </sheetView>
  </sheetViews>
  <sheetFormatPr baseColWidth="10" defaultRowHeight="15.75"/>
  <cols>
    <col min="2" max="2" width="14.5" customWidth="1"/>
    <col min="3" max="3" width="20" customWidth="1"/>
    <col min="4" max="4" width="35.125" customWidth="1"/>
    <col min="5" max="6" width="29.375" customWidth="1"/>
    <col min="7" max="7" width="32.875" customWidth="1"/>
    <col min="8" max="8" width="31.875" customWidth="1"/>
    <col min="9" max="9" width="39.5" customWidth="1"/>
    <col min="10" max="10" width="26.125" customWidth="1"/>
    <col min="11" max="11" width="26.375" customWidth="1"/>
    <col min="12" max="12" width="27.125" customWidth="1"/>
    <col min="13" max="13" width="25.875" customWidth="1"/>
  </cols>
  <sheetData>
    <row r="2" spans="2:13">
      <c r="B2" s="19" t="s">
        <v>102</v>
      </c>
    </row>
    <row r="3" spans="2:13" ht="16.5" thickBot="1"/>
    <row r="4" spans="2:13" ht="16.5" thickBot="1">
      <c r="B4" s="39"/>
      <c r="C4" s="40"/>
      <c r="D4" s="35" t="s">
        <v>4</v>
      </c>
      <c r="E4" s="35" t="s">
        <v>29</v>
      </c>
      <c r="F4" s="35" t="s">
        <v>30</v>
      </c>
      <c r="G4" s="35" t="s">
        <v>5</v>
      </c>
      <c r="H4" s="74" t="s">
        <v>6</v>
      </c>
      <c r="I4" s="74"/>
      <c r="J4" s="35" t="s">
        <v>110</v>
      </c>
      <c r="K4" s="35" t="s">
        <v>113</v>
      </c>
      <c r="L4" s="35" t="s">
        <v>109</v>
      </c>
      <c r="M4" s="41" t="s">
        <v>16</v>
      </c>
    </row>
    <row r="5" spans="2:13">
      <c r="B5" s="39"/>
      <c r="C5" s="40"/>
      <c r="D5" s="43"/>
      <c r="E5" s="43"/>
      <c r="F5" s="43"/>
      <c r="G5" s="43"/>
      <c r="H5" s="42"/>
      <c r="I5" s="43"/>
      <c r="J5" s="43"/>
      <c r="K5" s="43"/>
      <c r="L5" s="42"/>
      <c r="M5" s="75">
        <v>0</v>
      </c>
    </row>
    <row r="6" spans="2:13" ht="17.100000000000001" customHeight="1">
      <c r="B6" s="5" t="s">
        <v>1</v>
      </c>
      <c r="C6" s="51"/>
      <c r="D6" s="11" t="s">
        <v>81</v>
      </c>
      <c r="E6" s="11"/>
      <c r="F6" s="11"/>
      <c r="G6" s="11"/>
      <c r="H6" t="s">
        <v>82</v>
      </c>
      <c r="I6" s="11" t="s">
        <v>83</v>
      </c>
      <c r="J6" s="36">
        <v>75</v>
      </c>
      <c r="K6" s="36"/>
      <c r="L6" t="s">
        <v>108</v>
      </c>
      <c r="M6" s="72"/>
    </row>
    <row r="7" spans="2:13">
      <c r="B7" s="5"/>
      <c r="C7" s="51" t="s">
        <v>90</v>
      </c>
      <c r="D7" s="11" t="s">
        <v>70</v>
      </c>
      <c r="E7" s="11"/>
      <c r="F7" s="11"/>
      <c r="G7" s="11"/>
      <c r="H7" s="14"/>
      <c r="I7" s="11" t="s">
        <v>71</v>
      </c>
      <c r="J7" s="36"/>
      <c r="K7" s="36"/>
      <c r="L7" t="s">
        <v>108</v>
      </c>
      <c r="M7" s="72"/>
    </row>
    <row r="8" spans="2:13">
      <c r="B8" s="5"/>
      <c r="C8" s="51"/>
      <c r="D8" s="11"/>
      <c r="E8" s="11"/>
      <c r="F8" s="11"/>
      <c r="G8" s="11"/>
      <c r="H8" s="14"/>
      <c r="I8" s="11"/>
      <c r="J8" s="36"/>
      <c r="K8" s="36"/>
      <c r="M8" s="72"/>
    </row>
    <row r="9" spans="2:13">
      <c r="B9" s="5" t="s">
        <v>2</v>
      </c>
      <c r="C9" s="52" t="s">
        <v>97</v>
      </c>
      <c r="D9" s="11" t="s">
        <v>48</v>
      </c>
      <c r="E9" s="11" t="s">
        <v>46</v>
      </c>
      <c r="F9" s="11" t="s">
        <v>26</v>
      </c>
      <c r="G9" s="11" t="s">
        <v>14</v>
      </c>
      <c r="H9" s="14"/>
      <c r="I9" s="11" t="s">
        <v>15</v>
      </c>
      <c r="J9" s="36">
        <v>25</v>
      </c>
      <c r="K9" s="36">
        <v>25</v>
      </c>
      <c r="L9" t="s">
        <v>108</v>
      </c>
      <c r="M9" s="72"/>
    </row>
    <row r="10" spans="2:13">
      <c r="B10" s="5"/>
      <c r="C10" s="51"/>
      <c r="D10" s="11"/>
      <c r="E10" s="11"/>
      <c r="F10" s="11"/>
      <c r="G10" s="11"/>
      <c r="H10" s="14"/>
      <c r="I10" s="11"/>
      <c r="J10" s="36"/>
      <c r="K10" s="36"/>
      <c r="M10" s="72"/>
    </row>
    <row r="11" spans="2:13">
      <c r="B11" s="5"/>
      <c r="C11" s="51"/>
      <c r="D11" s="11"/>
      <c r="E11" s="11"/>
      <c r="F11" s="11"/>
      <c r="G11" s="11"/>
      <c r="H11" s="14"/>
      <c r="I11" s="11"/>
      <c r="J11" s="36"/>
      <c r="K11" s="36"/>
      <c r="M11" s="72"/>
    </row>
    <row r="12" spans="2:13">
      <c r="B12" s="5" t="s">
        <v>3</v>
      </c>
      <c r="C12" s="51"/>
      <c r="D12" s="11" t="s">
        <v>84</v>
      </c>
      <c r="E12" s="11">
        <v>2</v>
      </c>
      <c r="F12" s="11"/>
      <c r="G12" s="11" t="s">
        <v>23</v>
      </c>
      <c r="H12" s="14" t="s">
        <v>32</v>
      </c>
      <c r="I12" s="11" t="s">
        <v>33</v>
      </c>
      <c r="J12" s="36">
        <v>0.72</v>
      </c>
      <c r="K12" s="36">
        <f>J12*2</f>
        <v>1.44</v>
      </c>
      <c r="L12" t="s">
        <v>108</v>
      </c>
      <c r="M12" s="72"/>
    </row>
    <row r="13" spans="2:13">
      <c r="B13" s="5"/>
      <c r="C13" s="51"/>
      <c r="D13" s="11" t="s">
        <v>89</v>
      </c>
      <c r="E13" s="11">
        <v>1</v>
      </c>
      <c r="F13" s="11"/>
      <c r="G13" s="49" t="s">
        <v>87</v>
      </c>
      <c r="H13" s="14" t="s">
        <v>88</v>
      </c>
      <c r="I13" s="50" t="s">
        <v>86</v>
      </c>
      <c r="J13" s="36">
        <v>18.559999999999999</v>
      </c>
      <c r="K13" s="36">
        <v>18.559999999999999</v>
      </c>
      <c r="L13" t="s">
        <v>108</v>
      </c>
      <c r="M13" s="72"/>
    </row>
    <row r="14" spans="2:13">
      <c r="B14" s="5"/>
      <c r="C14" s="51"/>
      <c r="D14" s="11" t="s">
        <v>124</v>
      </c>
      <c r="E14" s="11">
        <v>4</v>
      </c>
      <c r="F14" s="11"/>
      <c r="G14" s="11" t="s">
        <v>23</v>
      </c>
      <c r="H14" s="14" t="s">
        <v>32</v>
      </c>
      <c r="I14" s="11" t="s">
        <v>33</v>
      </c>
      <c r="J14" s="36">
        <v>1.62</v>
      </c>
      <c r="K14" s="36">
        <f>1.62*4</f>
        <v>6.48</v>
      </c>
      <c r="M14" s="72"/>
    </row>
    <row r="15" spans="2:13">
      <c r="B15" s="5"/>
      <c r="C15" s="51"/>
      <c r="D15" s="11"/>
      <c r="E15" s="11"/>
      <c r="F15" s="11"/>
      <c r="G15" s="11"/>
      <c r="H15" s="14"/>
      <c r="I15" s="11"/>
      <c r="J15" s="36"/>
      <c r="K15" s="36"/>
      <c r="M15" s="72"/>
    </row>
    <row r="16" spans="2:13">
      <c r="B16" s="5"/>
      <c r="C16" s="51"/>
      <c r="D16" s="11"/>
      <c r="E16" s="11"/>
      <c r="F16" s="11"/>
      <c r="G16" s="11"/>
      <c r="H16" s="14"/>
      <c r="I16" s="11"/>
      <c r="J16" s="36"/>
      <c r="K16" s="36"/>
      <c r="M16" s="72"/>
    </row>
    <row r="17" spans="2:13" ht="31.5">
      <c r="B17" s="5" t="s">
        <v>8</v>
      </c>
      <c r="C17" s="51"/>
      <c r="D17" s="29" t="s">
        <v>117</v>
      </c>
      <c r="E17" s="11"/>
      <c r="F17" s="11"/>
      <c r="G17" s="11" t="s">
        <v>107</v>
      </c>
      <c r="H17" s="14" t="s">
        <v>106</v>
      </c>
      <c r="I17" s="11" t="s">
        <v>105</v>
      </c>
      <c r="J17" s="36"/>
      <c r="K17" s="37">
        <v>8.6</v>
      </c>
      <c r="L17" t="s">
        <v>108</v>
      </c>
      <c r="M17" s="72"/>
    </row>
    <row r="18" spans="2:13">
      <c r="B18" s="5"/>
      <c r="C18" s="51"/>
      <c r="D18" s="11"/>
      <c r="E18" s="11"/>
      <c r="F18" s="11"/>
      <c r="G18" s="11"/>
      <c r="H18" s="14"/>
      <c r="I18" s="11"/>
      <c r="J18" s="11"/>
      <c r="K18" s="11"/>
      <c r="M18" s="72"/>
    </row>
    <row r="19" spans="2:13">
      <c r="B19" s="4"/>
      <c r="C19" s="51"/>
      <c r="D19" s="11"/>
      <c r="E19" s="11"/>
      <c r="F19" s="11"/>
      <c r="G19" s="11"/>
      <c r="H19" s="14"/>
      <c r="I19" s="11"/>
      <c r="J19" s="11"/>
      <c r="K19" s="11"/>
      <c r="M19" s="72"/>
    </row>
    <row r="20" spans="2:13" ht="16.5" thickBot="1">
      <c r="B20" s="6"/>
      <c r="C20" s="53"/>
      <c r="D20" s="16"/>
      <c r="E20" s="16"/>
      <c r="F20" s="16"/>
      <c r="G20" s="16"/>
      <c r="H20" s="17"/>
      <c r="I20" s="16"/>
      <c r="J20" s="16"/>
      <c r="K20" s="16"/>
      <c r="L20" s="3"/>
      <c r="M20" s="73"/>
    </row>
    <row r="25" spans="2:13">
      <c r="K25" s="48"/>
    </row>
    <row r="26" spans="2:13">
      <c r="K26" s="48"/>
    </row>
  </sheetData>
  <mergeCells count="2">
    <mergeCell ref="H4:I4"/>
    <mergeCell ref="M5:M20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E33C-302B-2848-8813-96B6CE61658F}">
  <dimension ref="B2:M24"/>
  <sheetViews>
    <sheetView workbookViewId="0">
      <selection activeCell="D18" sqref="D18"/>
    </sheetView>
  </sheetViews>
  <sheetFormatPr baseColWidth="10" defaultRowHeight="15.75"/>
  <cols>
    <col min="2" max="2" width="14.5" customWidth="1"/>
    <col min="3" max="3" width="19.875" customWidth="1"/>
    <col min="4" max="4" width="34" customWidth="1"/>
    <col min="5" max="6" width="29.375" customWidth="1"/>
    <col min="7" max="7" width="25.875" customWidth="1"/>
    <col min="8" max="8" width="31.875" customWidth="1"/>
    <col min="9" max="9" width="44.5" customWidth="1"/>
    <col min="10" max="10" width="31.875" customWidth="1"/>
    <col min="11" max="11" width="28.375" customWidth="1"/>
    <col min="12" max="12" width="33.875" customWidth="1"/>
    <col min="13" max="13" width="25.875" customWidth="1"/>
  </cols>
  <sheetData>
    <row r="2" spans="2:13">
      <c r="B2" s="19" t="s">
        <v>101</v>
      </c>
    </row>
    <row r="3" spans="2:13" ht="16.5" thickBot="1"/>
    <row r="4" spans="2:13" ht="16.5" thickBot="1">
      <c r="B4" s="7"/>
      <c r="C4" s="40"/>
      <c r="D4" s="35" t="s">
        <v>4</v>
      </c>
      <c r="E4" s="35" t="s">
        <v>29</v>
      </c>
      <c r="F4" s="35" t="s">
        <v>30</v>
      </c>
      <c r="G4" s="35" t="s">
        <v>5</v>
      </c>
      <c r="H4" s="74" t="s">
        <v>6</v>
      </c>
      <c r="I4" s="74"/>
      <c r="J4" s="35" t="s">
        <v>110</v>
      </c>
      <c r="K4" s="35" t="s">
        <v>113</v>
      </c>
      <c r="L4" s="35" t="s">
        <v>109</v>
      </c>
      <c r="M4" s="41" t="s">
        <v>16</v>
      </c>
    </row>
    <row r="5" spans="2:13">
      <c r="B5" s="4"/>
      <c r="C5" s="40"/>
      <c r="D5" s="43"/>
      <c r="E5" s="43"/>
      <c r="F5" s="43"/>
      <c r="G5" s="43"/>
      <c r="H5" s="44"/>
      <c r="I5" s="43"/>
      <c r="J5" s="42"/>
      <c r="K5" s="43"/>
      <c r="L5" s="42"/>
      <c r="M5" s="75">
        <v>0</v>
      </c>
    </row>
    <row r="6" spans="2:13">
      <c r="B6" s="5" t="s">
        <v>1</v>
      </c>
      <c r="C6" s="51"/>
      <c r="D6" s="11" t="s">
        <v>92</v>
      </c>
      <c r="E6" s="11"/>
      <c r="F6" s="11"/>
      <c r="G6" s="11"/>
      <c r="H6" t="s">
        <v>82</v>
      </c>
      <c r="I6" s="11" t="s">
        <v>83</v>
      </c>
      <c r="J6" s="47">
        <v>150</v>
      </c>
      <c r="K6" s="36"/>
      <c r="L6" t="s">
        <v>108</v>
      </c>
      <c r="M6" s="72"/>
    </row>
    <row r="7" spans="2:13">
      <c r="B7" s="5"/>
      <c r="C7" s="51"/>
      <c r="D7" s="11"/>
      <c r="E7" s="11"/>
      <c r="F7" s="11"/>
      <c r="G7" s="11"/>
      <c r="H7" s="14"/>
      <c r="I7" s="11"/>
      <c r="J7" s="33"/>
      <c r="K7" s="36"/>
      <c r="M7" s="72"/>
    </row>
    <row r="8" spans="2:13">
      <c r="B8" s="5"/>
      <c r="C8" s="51"/>
      <c r="D8" s="11"/>
      <c r="E8" s="11"/>
      <c r="F8" s="11"/>
      <c r="G8" s="11"/>
      <c r="H8" s="14"/>
      <c r="I8" s="11"/>
      <c r="J8" s="33"/>
      <c r="K8" s="36"/>
      <c r="M8" s="72"/>
    </row>
    <row r="9" spans="2:13">
      <c r="B9" s="5" t="s">
        <v>2</v>
      </c>
      <c r="C9" s="52" t="s">
        <v>97</v>
      </c>
      <c r="D9" s="11" t="s">
        <v>13</v>
      </c>
      <c r="E9" s="11" t="s">
        <v>93</v>
      </c>
      <c r="F9" s="11" t="s">
        <v>31</v>
      </c>
      <c r="G9" s="11" t="s">
        <v>41</v>
      </c>
      <c r="H9" s="14" t="s">
        <v>11</v>
      </c>
      <c r="I9" s="11" t="s">
        <v>42</v>
      </c>
      <c r="J9" s="33">
        <v>80</v>
      </c>
      <c r="K9" s="36">
        <v>80</v>
      </c>
      <c r="L9" t="s">
        <v>108</v>
      </c>
      <c r="M9" s="72"/>
    </row>
    <row r="10" spans="2:13">
      <c r="B10" s="5"/>
      <c r="C10" s="52"/>
      <c r="D10" s="11"/>
      <c r="E10" s="11"/>
      <c r="F10" s="11"/>
      <c r="G10" s="11"/>
      <c r="H10" s="14"/>
      <c r="I10" s="11"/>
      <c r="J10" s="33"/>
      <c r="K10" s="36"/>
      <c r="M10" s="72"/>
    </row>
    <row r="11" spans="2:13">
      <c r="B11" s="5"/>
      <c r="C11" s="52"/>
      <c r="D11" s="11"/>
      <c r="E11" s="11"/>
      <c r="F11" s="11"/>
      <c r="G11" s="11"/>
      <c r="H11" s="14"/>
      <c r="I11" s="11"/>
      <c r="J11" s="33"/>
      <c r="K11" s="36"/>
      <c r="M11" s="72"/>
    </row>
    <row r="12" spans="2:13">
      <c r="B12" s="5" t="s">
        <v>7</v>
      </c>
      <c r="C12" s="52"/>
      <c r="D12" s="11" t="s">
        <v>48</v>
      </c>
      <c r="E12" s="11" t="s">
        <v>46</v>
      </c>
      <c r="F12" s="11" t="s">
        <v>26</v>
      </c>
      <c r="G12" s="11" t="s">
        <v>14</v>
      </c>
      <c r="H12" s="14"/>
      <c r="I12" s="11" t="s">
        <v>15</v>
      </c>
      <c r="J12" s="33">
        <v>25</v>
      </c>
      <c r="K12" s="36">
        <v>25</v>
      </c>
      <c r="L12" t="s">
        <v>108</v>
      </c>
      <c r="M12" s="72"/>
    </row>
    <row r="13" spans="2:13">
      <c r="B13" s="5"/>
      <c r="C13" s="52"/>
      <c r="D13" s="11"/>
      <c r="E13" s="11"/>
      <c r="F13" s="11"/>
      <c r="G13" s="11"/>
      <c r="H13" s="14"/>
      <c r="I13" s="11"/>
      <c r="J13" s="33"/>
      <c r="K13" s="36"/>
      <c r="M13" s="72"/>
    </row>
    <row r="14" spans="2:13">
      <c r="B14" s="5"/>
      <c r="C14" s="52"/>
      <c r="D14" s="11"/>
      <c r="E14" s="11"/>
      <c r="F14" s="11"/>
      <c r="G14" s="11"/>
      <c r="H14" s="14"/>
      <c r="I14" s="11"/>
      <c r="J14" s="33"/>
      <c r="K14" s="36"/>
      <c r="M14" s="72"/>
    </row>
    <row r="15" spans="2:13">
      <c r="B15" s="5" t="s">
        <v>3</v>
      </c>
      <c r="C15" s="52"/>
      <c r="D15" s="11" t="s">
        <v>79</v>
      </c>
      <c r="E15" s="11">
        <v>2</v>
      </c>
      <c r="F15" s="11" t="s">
        <v>31</v>
      </c>
      <c r="G15" s="11" t="s">
        <v>23</v>
      </c>
      <c r="H15" s="14" t="s">
        <v>32</v>
      </c>
      <c r="I15" s="11" t="s">
        <v>33</v>
      </c>
      <c r="J15" s="33">
        <v>3.46</v>
      </c>
      <c r="K15" s="36">
        <v>3.46</v>
      </c>
      <c r="L15" t="s">
        <v>108</v>
      </c>
      <c r="M15" s="72"/>
    </row>
    <row r="16" spans="2:13">
      <c r="B16" s="5"/>
      <c r="C16" s="52"/>
      <c r="D16" s="11" t="s">
        <v>53</v>
      </c>
      <c r="E16" s="11">
        <v>2</v>
      </c>
      <c r="F16" s="11"/>
      <c r="G16" s="11" t="s">
        <v>37</v>
      </c>
      <c r="H16" s="14" t="s">
        <v>54</v>
      </c>
      <c r="I16" s="11"/>
      <c r="J16" s="33">
        <v>0.56999999999999995</v>
      </c>
      <c r="K16" s="36">
        <f>J16*2</f>
        <v>1.1399999999999999</v>
      </c>
      <c r="L16" t="s">
        <v>108</v>
      </c>
      <c r="M16" s="72"/>
    </row>
    <row r="17" spans="2:13">
      <c r="B17" s="5"/>
      <c r="C17" s="52" t="s">
        <v>96</v>
      </c>
      <c r="D17" s="11" t="s">
        <v>94</v>
      </c>
      <c r="E17" s="11">
        <v>2</v>
      </c>
      <c r="F17" s="11" t="s">
        <v>31</v>
      </c>
      <c r="G17" s="49" t="s">
        <v>87</v>
      </c>
      <c r="H17" s="14" t="s">
        <v>88</v>
      </c>
      <c r="I17" s="50" t="s">
        <v>86</v>
      </c>
      <c r="J17" s="33">
        <v>3.5</v>
      </c>
      <c r="K17" s="36">
        <f>3.5*2</f>
        <v>7</v>
      </c>
      <c r="L17" t="s">
        <v>108</v>
      </c>
      <c r="M17" s="72"/>
    </row>
    <row r="18" spans="2:13">
      <c r="B18" s="5"/>
      <c r="C18" s="52" t="s">
        <v>95</v>
      </c>
      <c r="D18" s="11" t="s">
        <v>89</v>
      </c>
      <c r="E18" s="11">
        <v>1</v>
      </c>
      <c r="F18" s="11"/>
      <c r="G18" s="49" t="s">
        <v>87</v>
      </c>
      <c r="H18" s="14" t="s">
        <v>88</v>
      </c>
      <c r="I18" s="50" t="s">
        <v>86</v>
      </c>
      <c r="J18" s="47">
        <v>18.559999999999999</v>
      </c>
      <c r="K18" s="36">
        <v>18.559999999999999</v>
      </c>
      <c r="L18" t="s">
        <v>108</v>
      </c>
      <c r="M18" s="72"/>
    </row>
    <row r="19" spans="2:13">
      <c r="B19" s="5"/>
      <c r="C19" s="51"/>
      <c r="D19" s="11"/>
      <c r="E19" s="11"/>
      <c r="F19" s="11"/>
      <c r="G19" s="49"/>
      <c r="H19" s="14"/>
      <c r="I19" s="50"/>
      <c r="J19" s="33"/>
      <c r="K19" s="36"/>
      <c r="L19" s="46"/>
      <c r="M19" s="72"/>
    </row>
    <row r="20" spans="2:13">
      <c r="B20" s="5"/>
      <c r="C20" s="51"/>
      <c r="D20" s="11"/>
      <c r="E20" s="11"/>
      <c r="F20" s="11"/>
      <c r="G20" s="11"/>
      <c r="H20" s="14"/>
      <c r="I20" s="11"/>
      <c r="J20" s="33"/>
      <c r="K20" s="36"/>
      <c r="M20" s="72"/>
    </row>
    <row r="21" spans="2:13" ht="31.5">
      <c r="B21" s="5" t="s">
        <v>8</v>
      </c>
      <c r="C21" s="51"/>
      <c r="D21" s="29" t="s">
        <v>117</v>
      </c>
      <c r="E21" s="11"/>
      <c r="G21" s="11" t="s">
        <v>107</v>
      </c>
      <c r="H21" s="14" t="s">
        <v>106</v>
      </c>
      <c r="I21" s="11" t="s">
        <v>105</v>
      </c>
      <c r="J21" s="33"/>
      <c r="K21" s="37">
        <v>8.6</v>
      </c>
      <c r="L21" t="s">
        <v>108</v>
      </c>
      <c r="M21" s="72"/>
    </row>
    <row r="22" spans="2:13">
      <c r="B22" s="5"/>
      <c r="C22" s="51"/>
      <c r="D22" s="11"/>
      <c r="E22" s="11"/>
      <c r="F22" s="11"/>
      <c r="G22" s="11"/>
      <c r="H22" s="14"/>
      <c r="I22" s="11"/>
      <c r="K22" s="11"/>
      <c r="M22" s="72"/>
    </row>
    <row r="23" spans="2:13">
      <c r="B23" s="4"/>
      <c r="C23" s="51"/>
      <c r="D23" s="11"/>
      <c r="E23" s="11"/>
      <c r="F23" s="11"/>
      <c r="G23" s="11"/>
      <c r="H23" s="14"/>
      <c r="I23" s="11"/>
      <c r="K23" s="11"/>
      <c r="M23" s="72"/>
    </row>
    <row r="24" spans="2:13" ht="16.5" thickBot="1">
      <c r="B24" s="6"/>
      <c r="C24" s="53"/>
      <c r="D24" s="16"/>
      <c r="E24" s="16"/>
      <c r="F24" s="16"/>
      <c r="G24" s="16"/>
      <c r="H24" s="17"/>
      <c r="I24" s="16"/>
      <c r="J24" s="3"/>
      <c r="K24" s="16"/>
      <c r="L24" s="3"/>
      <c r="M24" s="73"/>
    </row>
  </sheetData>
  <mergeCells count="2">
    <mergeCell ref="H4:I4"/>
    <mergeCell ref="M5:M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F3F88-8904-BD4D-A8C7-E8542FCB8D92}">
  <dimension ref="B2:M22"/>
  <sheetViews>
    <sheetView workbookViewId="0">
      <selection activeCell="B2" sqref="B2:M22"/>
    </sheetView>
  </sheetViews>
  <sheetFormatPr baseColWidth="10" defaultRowHeight="15.75"/>
  <cols>
    <col min="2" max="2" width="14.5" customWidth="1"/>
    <col min="3" max="3" width="15.875" customWidth="1"/>
    <col min="4" max="4" width="34.375" customWidth="1"/>
    <col min="5" max="6" width="29.375" customWidth="1"/>
    <col min="7" max="7" width="34.125" customWidth="1"/>
    <col min="8" max="8" width="31.875" customWidth="1"/>
    <col min="9" max="9" width="50.875" customWidth="1"/>
    <col min="10" max="10" width="31" customWidth="1"/>
    <col min="11" max="11" width="32" customWidth="1"/>
    <col min="12" max="12" width="30.375" customWidth="1"/>
    <col min="13" max="13" width="25.875" customWidth="1"/>
  </cols>
  <sheetData>
    <row r="2" spans="2:13">
      <c r="B2" s="19" t="s">
        <v>100</v>
      </c>
    </row>
    <row r="3" spans="2:13" ht="16.5" thickBot="1"/>
    <row r="4" spans="2:13" ht="16.5" thickBot="1">
      <c r="B4" s="39"/>
      <c r="C4" s="40"/>
      <c r="D4" s="35" t="s">
        <v>4</v>
      </c>
      <c r="E4" s="35" t="s">
        <v>29</v>
      </c>
      <c r="F4" s="35" t="s">
        <v>30</v>
      </c>
      <c r="G4" s="35" t="s">
        <v>5</v>
      </c>
      <c r="H4" s="74" t="s">
        <v>6</v>
      </c>
      <c r="I4" s="74"/>
      <c r="J4" s="35" t="s">
        <v>110</v>
      </c>
      <c r="K4" s="35" t="s">
        <v>113</v>
      </c>
      <c r="L4" s="35" t="s">
        <v>109</v>
      </c>
      <c r="M4" s="41" t="s">
        <v>16</v>
      </c>
    </row>
    <row r="5" spans="2:13">
      <c r="B5" s="39"/>
      <c r="C5" s="42"/>
      <c r="D5" s="43"/>
      <c r="E5" s="43"/>
      <c r="F5" s="43"/>
      <c r="G5" s="43"/>
      <c r="H5" s="44"/>
      <c r="I5" s="45"/>
      <c r="J5" s="43"/>
      <c r="K5" s="43"/>
      <c r="L5" s="42"/>
      <c r="M5" s="75">
        <v>0</v>
      </c>
    </row>
    <row r="6" spans="2:13">
      <c r="B6" s="5" t="s">
        <v>1</v>
      </c>
      <c r="D6" s="11" t="s">
        <v>92</v>
      </c>
      <c r="E6" s="11"/>
      <c r="F6" s="11"/>
      <c r="G6" s="11"/>
      <c r="H6" s="15" t="s">
        <v>82</v>
      </c>
      <c r="I6" s="14" t="s">
        <v>83</v>
      </c>
      <c r="J6" s="11">
        <v>200</v>
      </c>
      <c r="K6" s="11"/>
      <c r="L6" t="s">
        <v>108</v>
      </c>
      <c r="M6" s="72"/>
    </row>
    <row r="7" spans="2:13">
      <c r="B7" s="5"/>
      <c r="D7" s="11"/>
      <c r="E7" s="11"/>
      <c r="F7" s="11"/>
      <c r="G7" s="11"/>
      <c r="H7" s="14"/>
      <c r="I7" s="15"/>
      <c r="J7" s="11"/>
      <c r="K7" s="11"/>
      <c r="M7" s="72"/>
    </row>
    <row r="8" spans="2:13">
      <c r="B8" s="5"/>
      <c r="D8" s="11"/>
      <c r="E8" s="11"/>
      <c r="F8" s="11"/>
      <c r="G8" s="11"/>
      <c r="H8" s="14"/>
      <c r="I8" s="15"/>
      <c r="J8" s="11"/>
      <c r="K8" s="11"/>
      <c r="M8" s="72"/>
    </row>
    <row r="9" spans="2:13">
      <c r="B9" s="5" t="s">
        <v>2</v>
      </c>
      <c r="D9" s="11" t="s">
        <v>52</v>
      </c>
      <c r="E9" s="11" t="s">
        <v>46</v>
      </c>
      <c r="F9" s="11" t="s">
        <v>31</v>
      </c>
      <c r="G9" s="11" t="s">
        <v>14</v>
      </c>
      <c r="H9" s="14"/>
      <c r="I9" s="15" t="s">
        <v>15</v>
      </c>
      <c r="J9" s="11">
        <v>250</v>
      </c>
      <c r="K9" s="11">
        <v>250</v>
      </c>
      <c r="L9" t="s">
        <v>108</v>
      </c>
      <c r="M9" s="72"/>
    </row>
    <row r="10" spans="2:13">
      <c r="B10" s="5"/>
      <c r="D10" s="11"/>
      <c r="E10" s="11"/>
      <c r="F10" s="11"/>
      <c r="G10" s="11"/>
      <c r="H10" s="14"/>
      <c r="I10" s="15"/>
      <c r="J10" s="11"/>
      <c r="K10" s="11"/>
      <c r="M10" s="72"/>
    </row>
    <row r="11" spans="2:13">
      <c r="B11" s="5"/>
      <c r="D11" s="11"/>
      <c r="E11" s="11"/>
      <c r="F11" s="11"/>
      <c r="G11" s="11"/>
      <c r="H11" s="14"/>
      <c r="I11" s="15"/>
      <c r="J11" s="11"/>
      <c r="K11" s="11"/>
      <c r="M11" s="72"/>
    </row>
    <row r="12" spans="2:13">
      <c r="B12" s="5" t="s">
        <v>7</v>
      </c>
      <c r="C12" s="26"/>
      <c r="D12" s="11" t="s">
        <v>48</v>
      </c>
      <c r="E12" s="11" t="s">
        <v>46</v>
      </c>
      <c r="F12" s="11" t="s">
        <v>26</v>
      </c>
      <c r="G12" s="11" t="s">
        <v>14</v>
      </c>
      <c r="H12" s="14"/>
      <c r="I12" s="15" t="s">
        <v>15</v>
      </c>
      <c r="J12" s="11">
        <v>25</v>
      </c>
      <c r="K12" s="11">
        <v>25</v>
      </c>
      <c r="L12" t="s">
        <v>108</v>
      </c>
      <c r="M12" s="72"/>
    </row>
    <row r="13" spans="2:13">
      <c r="B13" s="5"/>
      <c r="D13" s="11"/>
      <c r="E13" s="11"/>
      <c r="F13" s="11"/>
      <c r="G13" s="11"/>
      <c r="H13" s="14"/>
      <c r="I13" s="15"/>
      <c r="J13" s="11"/>
      <c r="K13" s="11"/>
      <c r="M13" s="72"/>
    </row>
    <row r="14" spans="2:13">
      <c r="B14" s="5"/>
      <c r="D14" s="11"/>
      <c r="E14" s="11"/>
      <c r="F14" s="11"/>
      <c r="G14" s="11"/>
      <c r="H14" s="14"/>
      <c r="I14" s="15"/>
      <c r="J14" s="11"/>
      <c r="K14" s="11"/>
      <c r="M14" s="72"/>
    </row>
    <row r="15" spans="2:13">
      <c r="B15" s="5" t="s">
        <v>3</v>
      </c>
      <c r="C15" s="26"/>
      <c r="D15" s="11" t="s">
        <v>79</v>
      </c>
      <c r="E15" s="11">
        <v>2</v>
      </c>
      <c r="F15" s="11" t="s">
        <v>31</v>
      </c>
      <c r="G15" s="11" t="s">
        <v>23</v>
      </c>
      <c r="H15" s="14" t="s">
        <v>32</v>
      </c>
      <c r="I15" s="15" t="s">
        <v>33</v>
      </c>
      <c r="J15" s="36">
        <v>3.46</v>
      </c>
      <c r="K15" s="36">
        <v>3.46</v>
      </c>
      <c r="L15" t="s">
        <v>108</v>
      </c>
      <c r="M15" s="72"/>
    </row>
    <row r="16" spans="2:13">
      <c r="B16" s="5"/>
      <c r="C16" s="26"/>
      <c r="D16" s="11" t="s">
        <v>53</v>
      </c>
      <c r="E16" s="11">
        <v>2</v>
      </c>
      <c r="F16" s="11"/>
      <c r="G16" s="11" t="s">
        <v>37</v>
      </c>
      <c r="H16" s="14" t="s">
        <v>54</v>
      </c>
      <c r="I16" s="15"/>
      <c r="J16" s="36">
        <v>0.56999999999999995</v>
      </c>
      <c r="K16" s="36">
        <f>J16*2</f>
        <v>1.1399999999999999</v>
      </c>
      <c r="L16" t="s">
        <v>108</v>
      </c>
      <c r="M16" s="72"/>
    </row>
    <row r="17" spans="2:13">
      <c r="B17" s="5"/>
      <c r="C17" s="26" t="s">
        <v>96</v>
      </c>
      <c r="D17" s="11" t="s">
        <v>94</v>
      </c>
      <c r="E17" s="11">
        <v>2</v>
      </c>
      <c r="F17" s="11" t="s">
        <v>31</v>
      </c>
      <c r="G17" s="49" t="s">
        <v>87</v>
      </c>
      <c r="H17" s="14" t="s">
        <v>88</v>
      </c>
      <c r="I17" s="25" t="s">
        <v>86</v>
      </c>
      <c r="J17" s="36">
        <v>3.5</v>
      </c>
      <c r="K17" s="36">
        <f>3.5*2</f>
        <v>7</v>
      </c>
      <c r="L17" t="s">
        <v>108</v>
      </c>
      <c r="M17" s="72"/>
    </row>
    <row r="18" spans="2:13">
      <c r="B18" s="5"/>
      <c r="C18" s="26" t="s">
        <v>95</v>
      </c>
      <c r="D18" s="11" t="s">
        <v>89</v>
      </c>
      <c r="E18" s="11">
        <v>1</v>
      </c>
      <c r="F18" s="11"/>
      <c r="G18" s="49" t="s">
        <v>87</v>
      </c>
      <c r="H18" s="14" t="s">
        <v>88</v>
      </c>
      <c r="I18" s="25" t="s">
        <v>86</v>
      </c>
      <c r="J18" s="36">
        <v>18.559999999999999</v>
      </c>
      <c r="K18" s="36">
        <v>18.559999999999999</v>
      </c>
      <c r="L18" t="s">
        <v>108</v>
      </c>
      <c r="M18" s="72"/>
    </row>
    <row r="19" spans="2:13">
      <c r="B19" s="5"/>
      <c r="C19" s="26"/>
      <c r="D19" s="11"/>
      <c r="E19" s="11"/>
      <c r="F19" s="11"/>
      <c r="G19" s="49"/>
      <c r="H19" s="14"/>
      <c r="I19" s="25"/>
      <c r="J19" s="36"/>
      <c r="K19" s="36"/>
      <c r="L19" s="46"/>
      <c r="M19" s="72"/>
    </row>
    <row r="20" spans="2:13" ht="31.5">
      <c r="B20" s="5" t="s">
        <v>8</v>
      </c>
      <c r="D20" s="29" t="s">
        <v>117</v>
      </c>
      <c r="E20" s="11"/>
      <c r="F20" s="11"/>
      <c r="G20" s="11" t="s">
        <v>107</v>
      </c>
      <c r="H20" s="11" t="s">
        <v>106</v>
      </c>
      <c r="I20" s="15" t="s">
        <v>105</v>
      </c>
      <c r="J20" s="36"/>
      <c r="K20" s="37">
        <v>8.6</v>
      </c>
      <c r="L20" t="s">
        <v>108</v>
      </c>
      <c r="M20" s="72"/>
    </row>
    <row r="21" spans="2:13">
      <c r="B21" s="4"/>
      <c r="D21" s="11"/>
      <c r="E21" s="11"/>
      <c r="F21" s="11"/>
      <c r="G21" s="11"/>
      <c r="H21" s="14"/>
      <c r="I21" s="15"/>
      <c r="J21" s="36"/>
      <c r="K21" s="37"/>
      <c r="M21" s="72"/>
    </row>
    <row r="22" spans="2:13" ht="16.5" thickBot="1">
      <c r="B22" s="6"/>
      <c r="C22" s="3"/>
      <c r="D22" s="16"/>
      <c r="E22" s="16"/>
      <c r="F22" s="16"/>
      <c r="G22" s="16"/>
      <c r="H22" s="17"/>
      <c r="I22" s="18"/>
      <c r="J22" s="16"/>
      <c r="K22" s="16"/>
      <c r="L22" s="3"/>
      <c r="M22" s="73"/>
    </row>
  </sheetData>
  <mergeCells count="2">
    <mergeCell ref="H4:I4"/>
    <mergeCell ref="M5:M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4C62-3646-0D4D-95AE-BFF88786D009}">
  <dimension ref="B2:M24"/>
  <sheetViews>
    <sheetView workbookViewId="0">
      <selection activeCell="B2" sqref="B2:M24"/>
    </sheetView>
  </sheetViews>
  <sheetFormatPr baseColWidth="10" defaultRowHeight="15.75"/>
  <cols>
    <col min="2" max="2" width="14.5" customWidth="1"/>
    <col min="3" max="3" width="19.875" customWidth="1"/>
    <col min="4" max="4" width="34" customWidth="1"/>
    <col min="5" max="6" width="29.375" customWidth="1"/>
    <col min="7" max="7" width="25.875" customWidth="1"/>
    <col min="8" max="8" width="31.875" customWidth="1"/>
    <col min="9" max="9" width="50.875" customWidth="1"/>
    <col min="10" max="10" width="31" customWidth="1"/>
    <col min="11" max="11" width="29.5" customWidth="1"/>
    <col min="12" max="12" width="30.375" customWidth="1"/>
    <col min="13" max="13" width="25.875" customWidth="1"/>
  </cols>
  <sheetData>
    <row r="2" spans="2:13">
      <c r="B2" s="19" t="s">
        <v>126</v>
      </c>
    </row>
    <row r="3" spans="2:13" ht="16.5" thickBot="1"/>
    <row r="4" spans="2:13" ht="16.5" thickBot="1">
      <c r="B4" s="7"/>
      <c r="C4" s="20"/>
      <c r="D4" s="8" t="s">
        <v>4</v>
      </c>
      <c r="E4" s="8" t="s">
        <v>29</v>
      </c>
      <c r="F4" s="8" t="s">
        <v>30</v>
      </c>
      <c r="G4" s="8" t="s">
        <v>5</v>
      </c>
      <c r="H4" s="71" t="s">
        <v>6</v>
      </c>
      <c r="I4" s="71"/>
      <c r="J4" s="35" t="s">
        <v>110</v>
      </c>
      <c r="K4" s="35" t="s">
        <v>113</v>
      </c>
      <c r="L4" s="8" t="s">
        <v>109</v>
      </c>
      <c r="M4" s="9" t="s">
        <v>16</v>
      </c>
    </row>
    <row r="5" spans="2:13">
      <c r="B5" s="54"/>
      <c r="C5" s="2"/>
      <c r="D5" s="10"/>
      <c r="E5" s="10"/>
      <c r="F5" s="10"/>
      <c r="G5" s="10"/>
      <c r="H5" s="12"/>
      <c r="I5" s="13"/>
      <c r="J5" s="64"/>
      <c r="K5" s="65"/>
      <c r="L5" s="2"/>
      <c r="M5" s="72">
        <v>0</v>
      </c>
    </row>
    <row r="6" spans="2:13">
      <c r="B6" s="55" t="s">
        <v>1</v>
      </c>
      <c r="C6" s="2"/>
      <c r="D6" s="10" t="s">
        <v>92</v>
      </c>
      <c r="E6" s="10"/>
      <c r="F6" s="10"/>
      <c r="G6" s="10"/>
      <c r="H6" s="13" t="s">
        <v>82</v>
      </c>
      <c r="I6" s="12" t="s">
        <v>83</v>
      </c>
      <c r="J6" s="66" t="s">
        <v>125</v>
      </c>
      <c r="K6" s="67"/>
      <c r="L6" s="12" t="s">
        <v>108</v>
      </c>
      <c r="M6" s="72"/>
    </row>
    <row r="7" spans="2:13">
      <c r="B7" s="55"/>
      <c r="C7" s="2"/>
      <c r="D7" s="10"/>
      <c r="E7" s="10"/>
      <c r="F7" s="10"/>
      <c r="G7" s="10"/>
      <c r="H7" s="12"/>
      <c r="I7" s="13"/>
      <c r="J7" s="34"/>
      <c r="K7" s="67"/>
      <c r="L7" s="2"/>
      <c r="M7" s="72"/>
    </row>
    <row r="8" spans="2:13">
      <c r="B8" s="55"/>
      <c r="C8" s="2"/>
      <c r="D8" s="10"/>
      <c r="E8" s="10"/>
      <c r="F8" s="10"/>
      <c r="G8" s="10"/>
      <c r="H8" s="12"/>
      <c r="I8" s="13"/>
      <c r="J8" s="34"/>
      <c r="K8" s="67"/>
      <c r="L8" s="2"/>
      <c r="M8" s="72"/>
    </row>
    <row r="9" spans="2:13">
      <c r="B9" s="55" t="s">
        <v>2</v>
      </c>
      <c r="C9" s="2" t="s">
        <v>26</v>
      </c>
      <c r="D9" s="10" t="s">
        <v>9</v>
      </c>
      <c r="E9" s="10"/>
      <c r="F9" s="10" t="s">
        <v>31</v>
      </c>
      <c r="G9" s="10" t="s">
        <v>10</v>
      </c>
      <c r="H9" s="12" t="s">
        <v>11</v>
      </c>
      <c r="I9" s="13" t="s">
        <v>12</v>
      </c>
      <c r="J9" s="34">
        <v>80</v>
      </c>
      <c r="K9" s="67">
        <v>80</v>
      </c>
      <c r="L9" s="12" t="s">
        <v>108</v>
      </c>
      <c r="M9" s="72"/>
    </row>
    <row r="10" spans="2:13">
      <c r="B10" s="55"/>
      <c r="C10" s="30"/>
      <c r="D10" s="10"/>
      <c r="E10" s="10"/>
      <c r="F10" s="10"/>
      <c r="G10" s="10"/>
      <c r="H10" s="12"/>
      <c r="I10" s="13"/>
      <c r="J10" s="34"/>
      <c r="K10" s="67"/>
      <c r="L10" s="2"/>
      <c r="M10" s="72"/>
    </row>
    <row r="11" spans="2:13">
      <c r="B11" s="55"/>
      <c r="C11" s="30"/>
      <c r="D11" s="10"/>
      <c r="E11" s="10"/>
      <c r="F11" s="10"/>
      <c r="G11" s="10"/>
      <c r="H11" s="12"/>
      <c r="I11" s="13"/>
      <c r="J11" s="34"/>
      <c r="K11" s="67"/>
      <c r="L11" s="2"/>
      <c r="M11" s="72"/>
    </row>
    <row r="12" spans="2:13">
      <c r="B12" s="55" t="s">
        <v>7</v>
      </c>
      <c r="C12" s="30"/>
      <c r="D12" s="10" t="s">
        <v>48</v>
      </c>
      <c r="E12" s="10" t="s">
        <v>46</v>
      </c>
      <c r="F12" s="10" t="s">
        <v>26</v>
      </c>
      <c r="G12" s="10" t="s">
        <v>14</v>
      </c>
      <c r="H12" s="12"/>
      <c r="I12" s="13" t="s">
        <v>15</v>
      </c>
      <c r="J12" s="34">
        <v>25</v>
      </c>
      <c r="K12" s="67">
        <v>25</v>
      </c>
      <c r="L12" s="12" t="s">
        <v>108</v>
      </c>
      <c r="M12" s="72"/>
    </row>
    <row r="13" spans="2:13">
      <c r="B13" s="55"/>
      <c r="C13" s="30"/>
      <c r="D13" s="10"/>
      <c r="E13" s="10"/>
      <c r="F13" s="10"/>
      <c r="G13" s="10"/>
      <c r="H13" s="12"/>
      <c r="I13" s="13"/>
      <c r="J13" s="34"/>
      <c r="K13" s="67"/>
      <c r="L13" s="2"/>
      <c r="M13" s="72"/>
    </row>
    <row r="14" spans="2:13">
      <c r="B14" s="55"/>
      <c r="C14" s="30"/>
      <c r="D14" s="10"/>
      <c r="E14" s="10"/>
      <c r="F14" s="10"/>
      <c r="G14" s="10"/>
      <c r="H14" s="12"/>
      <c r="I14" s="13"/>
      <c r="J14" s="34"/>
      <c r="K14" s="67"/>
      <c r="L14" s="2"/>
      <c r="M14" s="72"/>
    </row>
    <row r="15" spans="2:13">
      <c r="B15" s="55" t="s">
        <v>3</v>
      </c>
      <c r="C15" s="30"/>
      <c r="D15" s="10" t="s">
        <v>79</v>
      </c>
      <c r="E15" s="10">
        <v>2</v>
      </c>
      <c r="F15" s="10" t="s">
        <v>31</v>
      </c>
      <c r="G15" s="10" t="s">
        <v>23</v>
      </c>
      <c r="H15" s="12" t="s">
        <v>32</v>
      </c>
      <c r="I15" s="13" t="s">
        <v>33</v>
      </c>
      <c r="J15" s="34">
        <v>3.46</v>
      </c>
      <c r="K15" s="67">
        <v>3.46</v>
      </c>
      <c r="L15" s="12" t="s">
        <v>108</v>
      </c>
      <c r="M15" s="72"/>
    </row>
    <row r="16" spans="2:13">
      <c r="B16" s="55"/>
      <c r="C16" s="30"/>
      <c r="D16" s="10" t="s">
        <v>53</v>
      </c>
      <c r="E16" s="10">
        <v>2</v>
      </c>
      <c r="F16" s="10"/>
      <c r="G16" s="10" t="s">
        <v>37</v>
      </c>
      <c r="H16" s="12" t="s">
        <v>54</v>
      </c>
      <c r="I16" s="13"/>
      <c r="J16" s="34">
        <v>0.56999999999999995</v>
      </c>
      <c r="K16" s="67">
        <f>J16*2</f>
        <v>1.1399999999999999</v>
      </c>
      <c r="L16" s="12" t="s">
        <v>108</v>
      </c>
      <c r="M16" s="72"/>
    </row>
    <row r="17" spans="2:13">
      <c r="B17" s="55"/>
      <c r="C17" s="30" t="s">
        <v>96</v>
      </c>
      <c r="D17" s="10" t="s">
        <v>94</v>
      </c>
      <c r="E17" s="10">
        <v>2</v>
      </c>
      <c r="F17" s="10" t="s">
        <v>31</v>
      </c>
      <c r="G17" s="56" t="s">
        <v>87</v>
      </c>
      <c r="H17" s="12" t="s">
        <v>88</v>
      </c>
      <c r="I17" s="57" t="s">
        <v>86</v>
      </c>
      <c r="J17" s="34">
        <v>3.5</v>
      </c>
      <c r="K17" s="67">
        <f>3.5*2</f>
        <v>7</v>
      </c>
      <c r="L17" s="12" t="s">
        <v>108</v>
      </c>
      <c r="M17" s="72"/>
    </row>
    <row r="18" spans="2:13">
      <c r="B18" s="55"/>
      <c r="C18" s="30" t="s">
        <v>95</v>
      </c>
      <c r="D18" s="10" t="s">
        <v>89</v>
      </c>
      <c r="E18" s="10">
        <v>1</v>
      </c>
      <c r="F18" s="10"/>
      <c r="G18" s="56" t="s">
        <v>87</v>
      </c>
      <c r="H18" s="12" t="s">
        <v>88</v>
      </c>
      <c r="I18" s="57" t="s">
        <v>86</v>
      </c>
      <c r="J18" s="66">
        <v>18.559999999999999</v>
      </c>
      <c r="K18" s="67">
        <v>18.559999999999999</v>
      </c>
      <c r="L18" s="12" t="s">
        <v>108</v>
      </c>
      <c r="M18" s="72"/>
    </row>
    <row r="19" spans="2:13">
      <c r="B19" s="55"/>
      <c r="C19" s="2"/>
      <c r="D19" s="10"/>
      <c r="E19" s="10"/>
      <c r="F19" s="10"/>
      <c r="G19" s="56"/>
      <c r="H19" s="12"/>
      <c r="I19" s="57"/>
      <c r="J19" s="34"/>
      <c r="K19" s="67"/>
      <c r="L19" s="58"/>
      <c r="M19" s="72"/>
    </row>
    <row r="20" spans="2:13">
      <c r="B20" s="55"/>
      <c r="C20" s="2"/>
      <c r="D20" s="10"/>
      <c r="E20" s="10"/>
      <c r="F20" s="10"/>
      <c r="G20" s="10"/>
      <c r="H20" s="12"/>
      <c r="I20" s="13"/>
      <c r="J20" s="34"/>
      <c r="K20" s="67"/>
      <c r="L20" s="12"/>
      <c r="M20" s="72"/>
    </row>
    <row r="21" spans="2:13">
      <c r="B21" s="55" t="s">
        <v>8</v>
      </c>
      <c r="C21" s="2"/>
      <c r="D21" s="10" t="s">
        <v>91</v>
      </c>
      <c r="E21" s="10"/>
      <c r="F21" s="10"/>
      <c r="G21" s="10" t="s">
        <v>107</v>
      </c>
      <c r="H21" s="10" t="s">
        <v>106</v>
      </c>
      <c r="I21" s="13" t="s">
        <v>105</v>
      </c>
      <c r="J21" s="34"/>
      <c r="K21" s="68">
        <v>8.6</v>
      </c>
      <c r="L21" s="12" t="s">
        <v>108</v>
      </c>
      <c r="M21" s="72"/>
    </row>
    <row r="22" spans="2:13">
      <c r="B22" s="55"/>
      <c r="C22" s="2"/>
      <c r="D22" s="10"/>
      <c r="E22" s="10"/>
      <c r="F22" s="10"/>
      <c r="G22" s="10"/>
      <c r="H22" s="12"/>
      <c r="I22" s="2"/>
      <c r="J22" s="2"/>
      <c r="K22" s="10"/>
      <c r="L22" s="2"/>
      <c r="M22" s="76"/>
    </row>
    <row r="23" spans="2:13">
      <c r="B23" s="54"/>
      <c r="C23" s="2"/>
      <c r="D23" s="10"/>
      <c r="E23" s="10"/>
      <c r="F23" s="10"/>
      <c r="G23" s="10"/>
      <c r="H23" s="12"/>
      <c r="I23" s="13"/>
      <c r="J23" s="2"/>
      <c r="K23" s="10"/>
      <c r="L23" s="2"/>
      <c r="M23" s="72"/>
    </row>
    <row r="24" spans="2:13" ht="16.5" thickBot="1">
      <c r="B24" s="59"/>
      <c r="C24" s="60"/>
      <c r="D24" s="61"/>
      <c r="E24" s="61"/>
      <c r="F24" s="61"/>
      <c r="G24" s="61"/>
      <c r="H24" s="62"/>
      <c r="I24" s="63"/>
      <c r="J24" s="60"/>
      <c r="K24" s="61"/>
      <c r="L24" s="61"/>
      <c r="M24" s="73"/>
    </row>
  </sheetData>
  <mergeCells count="2">
    <mergeCell ref="H4:I4"/>
    <mergeCell ref="M5:M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RESUME SIMPLE</vt:lpstr>
      <vt:lpstr>RESUME</vt:lpstr>
      <vt:lpstr>JANE</vt:lpstr>
      <vt:lpstr>VICTOIRE</vt:lpstr>
      <vt:lpstr>COLETTE</vt:lpstr>
      <vt:lpstr>COLETTE EXO</vt:lpstr>
      <vt:lpstr>OLYMPE</vt:lpstr>
      <vt:lpstr>POCHON OLYMPE</vt:lpstr>
      <vt:lpstr>RAFAEL</vt:lpstr>
      <vt:lpstr>RAFAEL EXO</vt:lpstr>
      <vt:lpstr>CAROLINA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MAURO</dc:creator>
  <cp:lastModifiedBy>Vincent Hacquard</cp:lastModifiedBy>
  <dcterms:created xsi:type="dcterms:W3CDTF">2026-04-22T12:56:47Z</dcterms:created>
  <dcterms:modified xsi:type="dcterms:W3CDTF">2026-06-06T20:35:33Z</dcterms:modified>
</cp:coreProperties>
</file>