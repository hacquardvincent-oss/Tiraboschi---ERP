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hacquard\Projets\Tiraboschi - POS ERP V2\"/>
    </mc:Choice>
  </mc:AlternateContent>
  <xr:revisionPtr revIDLastSave="0" documentId="8_{B5BE9D2D-3751-4987-A549-154788AEAA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aux" sheetId="1" r:id="rId1"/>
    <sheet name="Bijoux" sheetId="2" r:id="rId2"/>
    <sheet name="Produits" sheetId="3" r:id="rId3"/>
    <sheet name="Stock transit - matières premiè" sheetId="4" r:id="rId4"/>
    <sheet name="Stock transit - produits finis" sheetId="5" r:id="rId5"/>
    <sheet name="Règles de nommage" sheetId="6" r:id="rId6"/>
  </sheets>
  <definedNames>
    <definedName name="_xlnm._FilterDatabase" localSheetId="1" hidden="1">Bijoux!$A$1:$J$19</definedName>
    <definedName name="_xlnm._FilterDatabase" localSheetId="0" hidden="1">Peaux!$A$1:$M$171</definedName>
    <definedName name="Z_CE5C4F23_A003_4D31_9274_F322DD808E2B_.wvu.FilterData" localSheetId="0" hidden="1">Peaux!$A$1:$M$171</definedName>
  </definedNames>
  <calcPr calcId="191029"/>
  <customWorkbookViews>
    <customWorkbookView name="Vincent" guid="{CE5C4F23-A003-4D31-9274-F322DD808E2B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10" i="2"/>
  <c r="H8" i="2"/>
  <c r="H3" i="2"/>
  <c r="G159" i="1"/>
  <c r="G157" i="1"/>
  <c r="G156" i="1"/>
  <c r="G139" i="1"/>
  <c r="G131" i="1"/>
  <c r="G121" i="1"/>
  <c r="G119" i="1"/>
  <c r="G118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98" i="1"/>
  <c r="G95" i="1"/>
  <c r="G94" i="1"/>
  <c r="G92" i="1"/>
  <c r="G91" i="1"/>
  <c r="G88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<sst xmlns="http://schemas.openxmlformats.org/spreadsheetml/2006/main" count="1070" uniqueCount="237">
  <si>
    <t>Catégorie</t>
  </si>
  <si>
    <t>Animal</t>
  </si>
  <si>
    <t>Type</t>
  </si>
  <si>
    <t>COULEUR</t>
  </si>
  <si>
    <t>Detail</t>
  </si>
  <si>
    <t>Commentaire</t>
  </si>
  <si>
    <t>ID Matière</t>
  </si>
  <si>
    <t>Pieds</t>
  </si>
  <si>
    <t>Coût d'achat (HT)</t>
  </si>
  <si>
    <t>Fournisseur</t>
  </si>
  <si>
    <t>Référence facture</t>
  </si>
  <si>
    <t>1er comptage</t>
  </si>
  <si>
    <t>Recomptage total</t>
  </si>
  <si>
    <t>Peaux</t>
  </si>
  <si>
    <t>Alligator </t>
  </si>
  <si>
    <t>Rouge vernis Vintage</t>
  </si>
  <si>
    <t>Très grandes écailles - épais</t>
  </si>
  <si>
    <t>Compter pied</t>
  </si>
  <si>
    <t>Alligator</t>
  </si>
  <si>
    <t>Blanc Mat</t>
  </si>
  <si>
    <t>Grandes écailles </t>
  </si>
  <si>
    <t>Œuf cassé mat</t>
  </si>
  <si>
    <t>Petites écailles </t>
  </si>
  <si>
    <t>Pailleté - Blanc mat</t>
  </si>
  <si>
    <t>Très grandes écailles</t>
  </si>
  <si>
    <t>Himalaya</t>
  </si>
  <si>
    <t>Blanc mat</t>
  </si>
  <si>
    <t>Très grandes écailles - fines</t>
  </si>
  <si>
    <t>Grandes écailles - épais</t>
  </si>
  <si>
    <t>Bi matière</t>
  </si>
  <si>
    <t>Rose vernis mat</t>
  </si>
  <si>
    <t>Bordeaux paillété mat</t>
  </si>
  <si>
    <t>Rouge cassé vernis </t>
  </si>
  <si>
    <t>Bleu cirula mat </t>
  </si>
  <si>
    <t>Bleu jeans toucheté mat</t>
  </si>
  <si>
    <t>Bleu klein mat </t>
  </si>
  <si>
    <t>Indigo Vintage mat </t>
  </si>
  <si>
    <t>Jeans Mat</t>
  </si>
  <si>
    <t>Très grandes écailles </t>
  </si>
  <si>
    <t>Bleu pétrole mat</t>
  </si>
  <si>
    <t>Bleu foncé mat</t>
  </si>
  <si>
    <t>Marron clair mat</t>
  </si>
  <si>
    <t xml:space="preserve">Marron foncé mat </t>
  </si>
  <si>
    <t xml:space="preserve">Peaux </t>
  </si>
  <si>
    <t>Noir &amp; Bleu nacré au millieu</t>
  </si>
  <si>
    <t xml:space="preserve">Noir vernis </t>
  </si>
  <si>
    <t xml:space="preserve">Bleu chromé mat </t>
  </si>
  <si>
    <t>Noir &amp; doré chanel mat</t>
  </si>
  <si>
    <t xml:space="preserve">Alligator </t>
  </si>
  <si>
    <t xml:space="preserve">Noir mat </t>
  </si>
  <si>
    <t>Agneau</t>
  </si>
  <si>
    <t>Bleu pastel</t>
  </si>
  <si>
    <t>-</t>
  </si>
  <si>
    <t>Bleu cirula</t>
  </si>
  <si>
    <t>Doré</t>
  </si>
  <si>
    <t xml:space="preserve">Rouge </t>
  </si>
  <si>
    <t>Noir</t>
  </si>
  <si>
    <t>Lila</t>
  </si>
  <si>
    <t>Gris Himalaya</t>
  </si>
  <si>
    <t xml:space="preserve">Blanc </t>
  </si>
  <si>
    <t>Marron foncé Himalaya</t>
  </si>
  <si>
    <t>Framboise</t>
  </si>
  <si>
    <t>Bleu glacé</t>
  </si>
  <si>
    <t>Prune/vino</t>
  </si>
  <si>
    <t>Jaune</t>
  </si>
  <si>
    <t>Agneau velours</t>
  </si>
  <si>
    <t xml:space="preserve">Beige </t>
  </si>
  <si>
    <t>Bleu</t>
  </si>
  <si>
    <t>Chèvre</t>
  </si>
  <si>
    <t>Cognac</t>
  </si>
  <si>
    <t>Marron</t>
  </si>
  <si>
    <t>Rouge</t>
  </si>
  <si>
    <t>Veau</t>
  </si>
  <si>
    <t>Delvaux</t>
  </si>
  <si>
    <t>Chocolat</t>
  </si>
  <si>
    <t xml:space="preserve">Fin </t>
  </si>
  <si>
    <t>Manque 11 pieds</t>
  </si>
  <si>
    <t xml:space="preserve">Noir </t>
  </si>
  <si>
    <t>Epais</t>
  </si>
  <si>
    <t>Micro caviar</t>
  </si>
  <si>
    <t>Caviar</t>
  </si>
  <si>
    <t xml:space="preserve">Vieux rose </t>
  </si>
  <si>
    <t xml:space="preserve">Veau </t>
  </si>
  <si>
    <t xml:space="preserve">Noir brillant </t>
  </si>
  <si>
    <t xml:space="preserve">Caviar </t>
  </si>
  <si>
    <t xml:space="preserve">Hermès </t>
  </si>
  <si>
    <t>Gold</t>
  </si>
  <si>
    <t>Pied manquant</t>
  </si>
  <si>
    <t>Manquant</t>
  </si>
  <si>
    <t xml:space="preserve">Bordeaux </t>
  </si>
  <si>
    <t>Taurillon</t>
  </si>
  <si>
    <t xml:space="preserve">Gochoki </t>
  </si>
  <si>
    <t>Corrida</t>
  </si>
  <si>
    <t xml:space="preserve">Ficelle </t>
  </si>
  <si>
    <t xml:space="preserve">Tabac </t>
  </si>
  <si>
    <t>Pieds manquants</t>
  </si>
  <si>
    <t>Pompei</t>
  </si>
  <si>
    <t>Terre d'ombre</t>
  </si>
  <si>
    <t>Cacao</t>
  </si>
  <si>
    <t>Brasilia</t>
  </si>
  <si>
    <t>Dragon</t>
  </si>
  <si>
    <t>Bi Matière</t>
  </si>
  <si>
    <t>sans caviar</t>
  </si>
  <si>
    <t>CO FW26</t>
  </si>
  <si>
    <t>Borodo</t>
  </si>
  <si>
    <t>CO FW276</t>
  </si>
  <si>
    <t>Bordeaux</t>
  </si>
  <si>
    <t>CO FW 26</t>
  </si>
  <si>
    <t>Gris</t>
  </si>
  <si>
    <t>Epsom</t>
  </si>
  <si>
    <t>Cacahuète</t>
  </si>
  <si>
    <t>Recompter</t>
  </si>
  <si>
    <t>Alcantara</t>
  </si>
  <si>
    <t>Lagun</t>
  </si>
  <si>
    <t>Loutre</t>
  </si>
  <si>
    <t>Oldarra</t>
  </si>
  <si>
    <t>Pompéi</t>
  </si>
  <si>
    <t>Manque 4 pieds</t>
  </si>
  <si>
    <t>Nougatine</t>
  </si>
  <si>
    <t>Peaux - Chute</t>
  </si>
  <si>
    <t>Hermès</t>
  </si>
  <si>
    <t>TOTAL</t>
  </si>
  <si>
    <t>Quantité</t>
  </si>
  <si>
    <t>Rouleau</t>
  </si>
  <si>
    <t>Bijoux</t>
  </si>
  <si>
    <t xml:space="preserve">Embout </t>
  </si>
  <si>
    <t>20446R4_DSNV</t>
  </si>
  <si>
    <t>Doré Vernis (NF)</t>
  </si>
  <si>
    <t>Attache bandoulière "D"</t>
  </si>
  <si>
    <t>279MC_DV</t>
  </si>
  <si>
    <t>Doré Vernis</t>
  </si>
  <si>
    <t>2 boites</t>
  </si>
  <si>
    <t xml:space="preserve">Rivets métal </t>
  </si>
  <si>
    <t>BPR CROISSIER 672 872</t>
  </si>
  <si>
    <t>Doré vieilli</t>
  </si>
  <si>
    <t xml:space="preserve">Œillets métalliques </t>
  </si>
  <si>
    <t xml:space="preserve">Matrice </t>
  </si>
  <si>
    <t xml:space="preserve">Doré </t>
  </si>
  <si>
    <t xml:space="preserve">Plaque de marquage </t>
  </si>
  <si>
    <t xml:space="preserve">Bijoux </t>
  </si>
  <si>
    <t>Tirettes</t>
  </si>
  <si>
    <t>10790_NV</t>
  </si>
  <si>
    <t>Nickel Vernis</t>
  </si>
  <si>
    <t xml:space="preserve">Tirettes métalliques </t>
  </si>
  <si>
    <t xml:space="preserve">Aimants </t>
  </si>
  <si>
    <t>S-15-02-N</t>
  </si>
  <si>
    <t>Argent</t>
  </si>
  <si>
    <t>Aimants fermeture 2mm</t>
  </si>
  <si>
    <t xml:space="preserve">Attache aimants </t>
  </si>
  <si>
    <t>#69289 P332</t>
  </si>
  <si>
    <t>Attache aimants fermeture</t>
  </si>
  <si>
    <t>S-20-03-N</t>
  </si>
  <si>
    <t>Aimants fermeture 3mm</t>
  </si>
  <si>
    <t>S-25-03-N</t>
  </si>
  <si>
    <t>Chaines</t>
  </si>
  <si>
    <t>DH309 Chain + 2 Hooks</t>
  </si>
  <si>
    <t>Steel Color</t>
  </si>
  <si>
    <t>Chaines sacs</t>
  </si>
  <si>
    <t>PVD 2N GOLD</t>
  </si>
  <si>
    <t>Attaches chaines</t>
  </si>
  <si>
    <t>Hooks PVDN 2N</t>
  </si>
  <si>
    <t>Attaches chaines sacs</t>
  </si>
  <si>
    <t xml:space="preserve">Boucles sacs </t>
  </si>
  <si>
    <t>20192R1_DV</t>
  </si>
  <si>
    <t xml:space="preserve">Boucles de sacs </t>
  </si>
  <si>
    <t>20192R1_IMITPALV</t>
  </si>
  <si>
    <t>Imitation Palladium + Vernis</t>
  </si>
  <si>
    <t>19093R6_IMITPALV</t>
  </si>
  <si>
    <t>19093R6_DV</t>
  </si>
  <si>
    <t>Modèles</t>
  </si>
  <si>
    <t>Details</t>
  </si>
  <si>
    <t>Rafaël</t>
  </si>
  <si>
    <t>Exotique</t>
  </si>
  <si>
    <t>Argenté</t>
  </si>
  <si>
    <t>Colette</t>
  </si>
  <si>
    <t>Bi-Matière</t>
  </si>
  <si>
    <t>Non conforme</t>
  </si>
  <si>
    <t>Segment 1 : Catégorie (CAT)</t>
  </si>
  <si>
    <t>Segment 2 : Animal/Famille (ANI)</t>
  </si>
  <si>
    <t>Segment 3 : Finition/Type (TYP)</t>
  </si>
  <si>
    <t>Segment 4 : Couleur/Taille (COL)</t>
  </si>
  <si>
    <t>Exemples de rendus</t>
  </si>
  <si>
    <t>PEA = Peaux</t>
  </si>
  <si>
    <t>ALL = Alligator</t>
  </si>
  <si>
    <t>DEL = Delvaux</t>
  </si>
  <si>
    <t>001 = Noir</t>
  </si>
  <si>
    <t>PEA-VEA-DEL-001 (Peau de Veau Delvaux Noir)</t>
  </si>
  <si>
    <t>BIJ = Bijouterie</t>
  </si>
  <si>
    <t>VEA = Veau</t>
  </si>
  <si>
    <t>HER = Hermès</t>
  </si>
  <si>
    <t>002 = Bleu</t>
  </si>
  <si>
    <t>PEA-ALL-HIM-007 (Peau Alligator Himalaya Blanc)</t>
  </si>
  <si>
    <t>FOU = Fournitures</t>
  </si>
  <si>
    <t>TAU = Taurillon</t>
  </si>
  <si>
    <t>GOC = Gochoki</t>
  </si>
  <si>
    <t>003 = Rouge</t>
  </si>
  <si>
    <t>PEA-TAU-GOC-013 (Peau Taurillon Gochoki Cacao)</t>
  </si>
  <si>
    <t>AGN = Agneau</t>
  </si>
  <si>
    <t>LAG = Lagun</t>
  </si>
  <si>
    <t>004 = Beige</t>
  </si>
  <si>
    <t>BIJ-AIM-ARG-020 (Aimant 20mm Argent)</t>
  </si>
  <si>
    <t>CHE = Chèvre</t>
  </si>
  <si>
    <t>OLD = Oldarra</t>
  </si>
  <si>
    <t>005 = Marron</t>
  </si>
  <si>
    <t>BIJ-ANN-DNV-012 (Anneau D 12mm Doré Vernis)</t>
  </si>
  <si>
    <t>ALC = Alcantara</t>
  </si>
  <si>
    <t>CAV = Caviar / Micro Caviar</t>
  </si>
  <si>
    <t>006 = Gris</t>
  </si>
  <si>
    <t>AIM = Aimant</t>
  </si>
  <si>
    <t>HIM = Himalaya</t>
  </si>
  <si>
    <t>007 = Blanc</t>
  </si>
  <si>
    <t>ANN = Anneau / Attache</t>
  </si>
  <si>
    <t>VEL = Velours</t>
  </si>
  <si>
    <t>008 = Rose</t>
  </si>
  <si>
    <t>BOU = Boucle de sac</t>
  </si>
  <si>
    <t>BIM = Bi-matière</t>
  </si>
  <si>
    <t>009 = Jaune</t>
  </si>
  <si>
    <t>CHA = Chaîne</t>
  </si>
  <si>
    <t>EPS = Epsom</t>
  </si>
  <si>
    <t>010 = Loutre</t>
  </si>
  <si>
    <t>RIV = Rivet / Œillet</t>
  </si>
  <si>
    <t>BAR = Barenia</t>
  </si>
  <si>
    <t>011 = Nougatine</t>
  </si>
  <si>
    <t>EMB = Embout</t>
  </si>
  <si>
    <t>DNV = Doré Vernis</t>
  </si>
  <si>
    <t>012 = Cognac</t>
  </si>
  <si>
    <t>TIR = Tirette</t>
  </si>
  <si>
    <t>DVI = Doré Vieilli</t>
  </si>
  <si>
    <t>013 = Cacao</t>
  </si>
  <si>
    <t>ARG = Argent</t>
  </si>
  <si>
    <t>014 = Ficelle</t>
  </si>
  <si>
    <t>PAL = Palladium</t>
  </si>
  <si>
    <t>015 = Terre brûlée</t>
  </si>
  <si>
    <t>PVD = PVD 2N Gold</t>
  </si>
  <si>
    <t>016 = Vert</t>
  </si>
  <si>
    <t>STE = Steel Color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</si>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</sst>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rgb="FF000000"/>
      <name val="Aptos Narrow"/>
    </font>
    <font>
      <sz val="11"/>
      <color rgb="FF000000"/>
      <name val="Arial"/>
    </font>
    <font>
      <sz val="11"/>
      <color theme="1"/>
      <name val="Aptos Narrow"/>
      <scheme val="minor"/>
    </font>
    <font>
      <sz val="11"/>
      <color theme="1"/>
      <name val="&quot;UICTFontTextStyleBody&quot;"/>
    </font>
    <font>
      <sz val="11"/>
      <color theme="1"/>
      <name val="Arial"/>
    </font>
    <font>
      <sz val="11"/>
      <color rgb="FF000000"/>
      <name val="&quot;Aptos Narrow&quot;"/>
    </font>
    <font>
      <b/>
      <sz val="11"/>
      <color theme="1"/>
      <name val="Arial"/>
    </font>
    <font>
      <b/>
      <sz val="11"/>
      <color theme="1"/>
      <name val="Aptos Narrow"/>
      <scheme val="minor"/>
    </font>
    <font>
      <b/>
      <sz val="11"/>
      <color rgb="FF000000"/>
      <name val="&quot;Aptos Narrow&quot;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quotePrefix="1" applyFont="1"/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8" fillId="0" borderId="0" xfId="0" applyFont="1" applyAlignment="1">
      <alignment horizontal="right"/>
    </xf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M108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12.5703125" defaultRowHeight="15" customHeight="1"/>
  <cols>
    <col min="1" max="2" width="10.5703125" customWidth="1"/>
    <col min="3" max="3" width="16.85546875" customWidth="1"/>
    <col min="4" max="4" width="23.5703125" customWidth="1"/>
    <col min="5" max="5" width="8.42578125" customWidth="1"/>
    <col min="6" max="6" width="15.28515625" customWidth="1"/>
    <col min="7" max="7" width="12.28515625" customWidth="1"/>
    <col min="8" max="8" width="10.5703125" customWidth="1"/>
    <col min="9" max="9" width="18.7109375" customWidth="1"/>
    <col min="10" max="10" width="15.42578125" customWidth="1"/>
    <col min="11" max="11" width="19" customWidth="1"/>
    <col min="12" max="12" width="15.42578125" customWidth="1"/>
    <col min="13" max="13" width="19.7109375" customWidth="1"/>
    <col min="14" max="29" width="10.57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s="3" t="s">
        <v>14</v>
      </c>
      <c r="D2" s="3" t="s">
        <v>15</v>
      </c>
      <c r="E2" s="3" t="s">
        <v>16</v>
      </c>
      <c r="F2" s="4" t="s">
        <v>17</v>
      </c>
      <c r="G2" s="5" t="str">
        <f>UPPER(LEFT(A2,3)) &amp; "-" &amp; UPPER(LEFT(B2,3)) &amp; "-" &amp; TEXT(COUNTIF($A$2:A2,A2),"000")</f>
        <v>PEA-ALL-001</v>
      </c>
      <c r="H2" s="3"/>
      <c r="I2" s="3"/>
      <c r="J2" s="3"/>
      <c r="K2" s="3"/>
      <c r="L2" s="3">
        <v>3</v>
      </c>
      <c r="M2" s="5">
        <v>3</v>
      </c>
    </row>
    <row r="3" spans="1:13">
      <c r="A3" s="3" t="s">
        <v>13</v>
      </c>
      <c r="B3" s="3" t="s">
        <v>14</v>
      </c>
      <c r="C3" s="3" t="s">
        <v>18</v>
      </c>
      <c r="D3" s="3" t="s">
        <v>19</v>
      </c>
      <c r="E3" s="3" t="s">
        <v>20</v>
      </c>
      <c r="F3" s="4" t="s">
        <v>17</v>
      </c>
      <c r="G3" s="5" t="str">
        <f>UPPER(LEFT(A2,3)) &amp; "-" &amp; UPPER(LEFT(B2,3)) &amp; "-" &amp; TEXT(COUNTIF($A$2:A2,A2),"000")</f>
        <v>PEA-ALL-001</v>
      </c>
      <c r="H3" s="3"/>
      <c r="I3" s="3"/>
      <c r="J3" s="3"/>
      <c r="K3" s="3"/>
      <c r="L3" s="3">
        <v>2</v>
      </c>
      <c r="M3" s="5">
        <v>1</v>
      </c>
    </row>
    <row r="4" spans="1:13">
      <c r="A4" s="3" t="s">
        <v>13</v>
      </c>
      <c r="B4" s="3" t="s">
        <v>14</v>
      </c>
      <c r="C4" s="3" t="s">
        <v>14</v>
      </c>
      <c r="D4" s="3" t="s">
        <v>21</v>
      </c>
      <c r="E4" s="3" t="s">
        <v>22</v>
      </c>
      <c r="F4" s="4" t="s">
        <v>17</v>
      </c>
      <c r="G4" s="5" t="str">
        <f>UPPER(LEFT(A2,3)) &amp; "-" &amp; UPPER(LEFT(B2,3)) &amp; "-" &amp; TEXT(COUNTIF($A$2:A2,A2),"000")</f>
        <v>PEA-ALL-001</v>
      </c>
      <c r="H4" s="3"/>
      <c r="I4" s="3"/>
      <c r="J4" s="3"/>
      <c r="K4" s="3"/>
      <c r="L4" s="3">
        <v>1</v>
      </c>
      <c r="M4" s="5">
        <v>2</v>
      </c>
    </row>
    <row r="5" spans="1:13">
      <c r="A5" s="3" t="s">
        <v>13</v>
      </c>
      <c r="B5" s="3" t="s">
        <v>14</v>
      </c>
      <c r="C5" s="3" t="s">
        <v>14</v>
      </c>
      <c r="D5" s="3" t="s">
        <v>23</v>
      </c>
      <c r="E5" s="3" t="s">
        <v>24</v>
      </c>
      <c r="F5" s="4" t="s">
        <v>17</v>
      </c>
      <c r="G5" s="5" t="str">
        <f>UPPER(LEFT(A2,3)) &amp; "-" &amp; UPPER(LEFT(B2,3)) &amp; "-" &amp; TEXT(COUNTIF($A$2:A2,A2),"000")</f>
        <v>PEA-ALL-001</v>
      </c>
      <c r="H5" s="3"/>
      <c r="I5" s="3"/>
      <c r="J5" s="3"/>
      <c r="K5" s="3"/>
      <c r="L5" s="3">
        <v>0</v>
      </c>
      <c r="M5" s="5">
        <v>1</v>
      </c>
    </row>
    <row r="6" spans="1:13">
      <c r="A6" s="3" t="s">
        <v>13</v>
      </c>
      <c r="B6" s="3" t="s">
        <v>14</v>
      </c>
      <c r="C6" s="3" t="s">
        <v>25</v>
      </c>
      <c r="D6" s="3" t="s">
        <v>26</v>
      </c>
      <c r="E6" s="3" t="s">
        <v>27</v>
      </c>
      <c r="F6" s="4" t="s">
        <v>17</v>
      </c>
      <c r="G6" s="5" t="str">
        <f>UPPER(LEFT(A2,3)) &amp; "-" &amp; UPPER(LEFT(B2,3)) &amp; "-" &amp; TEXT(COUNTIF($A$2:A2,A2),"000")</f>
        <v>PEA-ALL-001</v>
      </c>
      <c r="H6" s="3"/>
      <c r="I6" s="3"/>
      <c r="J6" s="3"/>
      <c r="K6" s="3"/>
      <c r="L6" s="3">
        <v>1</v>
      </c>
      <c r="M6" s="5">
        <v>3</v>
      </c>
    </row>
    <row r="7" spans="1:13">
      <c r="A7" s="3" t="s">
        <v>13</v>
      </c>
      <c r="B7" s="3" t="s">
        <v>14</v>
      </c>
      <c r="C7" s="3" t="s">
        <v>25</v>
      </c>
      <c r="D7" s="3" t="s">
        <v>26</v>
      </c>
      <c r="E7" s="3" t="s">
        <v>28</v>
      </c>
      <c r="F7" s="4" t="s">
        <v>17</v>
      </c>
      <c r="G7" s="5" t="str">
        <f>UPPER(LEFT(A2,3)) &amp; "-" &amp; UPPER(LEFT(B2,3)) &amp; "-" &amp; TEXT(COUNTIF($A$2:A2,A2),"000")</f>
        <v>PEA-ALL-001</v>
      </c>
      <c r="H7" s="3"/>
      <c r="I7" s="3"/>
      <c r="J7" s="3"/>
      <c r="K7" s="3"/>
      <c r="L7" s="3">
        <v>1</v>
      </c>
      <c r="M7" s="5">
        <v>3</v>
      </c>
    </row>
    <row r="8" spans="1:13">
      <c r="A8" s="3" t="s">
        <v>13</v>
      </c>
      <c r="B8" s="3" t="s">
        <v>14</v>
      </c>
      <c r="C8" s="3" t="s">
        <v>29</v>
      </c>
      <c r="D8" s="3" t="s">
        <v>30</v>
      </c>
      <c r="E8" s="3" t="s">
        <v>20</v>
      </c>
      <c r="F8" s="4" t="s">
        <v>17</v>
      </c>
      <c r="G8" s="5" t="str">
        <f>UPPER(LEFT(A2,3)) &amp; "-" &amp; UPPER(LEFT(B2,3)) &amp; "-" &amp; TEXT(COUNTIF($A$2:A2,A2),"000")</f>
        <v>PEA-ALL-001</v>
      </c>
      <c r="H8" s="3"/>
      <c r="I8" s="3"/>
      <c r="J8" s="3"/>
      <c r="K8" s="3"/>
      <c r="L8" s="3">
        <v>1</v>
      </c>
      <c r="M8" s="5">
        <v>1</v>
      </c>
    </row>
    <row r="9" spans="1:13">
      <c r="A9" s="3" t="s">
        <v>13</v>
      </c>
      <c r="B9" s="3" t="s">
        <v>14</v>
      </c>
      <c r="C9" s="3" t="s">
        <v>18</v>
      </c>
      <c r="D9" s="3" t="s">
        <v>31</v>
      </c>
      <c r="E9" s="3" t="s">
        <v>22</v>
      </c>
      <c r="F9" s="4" t="s">
        <v>17</v>
      </c>
      <c r="G9" s="5" t="str">
        <f>UPPER(LEFT(A2,3)) &amp; "-" &amp; UPPER(LEFT(B2,3)) &amp; "-" &amp; TEXT(COUNTIF($A$2:A2,A2),"000")</f>
        <v>PEA-ALL-001</v>
      </c>
      <c r="H9" s="3"/>
      <c r="I9" s="3"/>
      <c r="J9" s="3"/>
      <c r="K9" s="3"/>
      <c r="L9" s="3">
        <v>1</v>
      </c>
      <c r="M9" s="5">
        <v>1</v>
      </c>
    </row>
    <row r="10" spans="1:13">
      <c r="A10" s="3" t="s">
        <v>13</v>
      </c>
      <c r="B10" s="3" t="s">
        <v>14</v>
      </c>
      <c r="C10" s="3" t="s">
        <v>18</v>
      </c>
      <c r="D10" s="3" t="s">
        <v>32</v>
      </c>
      <c r="E10" s="3" t="s">
        <v>20</v>
      </c>
      <c r="F10" s="4" t="s">
        <v>17</v>
      </c>
      <c r="G10" s="5" t="str">
        <f>UPPER(LEFT(A2,3)) &amp; "-" &amp; UPPER(LEFT(B2,3)) &amp; "-" &amp; TEXT(COUNTIF($A$2:A2,A2),"000")</f>
        <v>PEA-ALL-001</v>
      </c>
      <c r="H10" s="3"/>
      <c r="I10" s="3"/>
      <c r="J10" s="3"/>
      <c r="K10" s="3"/>
      <c r="L10" s="3">
        <v>4</v>
      </c>
      <c r="M10" s="5">
        <v>4</v>
      </c>
    </row>
    <row r="11" spans="1:13">
      <c r="A11" s="3" t="s">
        <v>13</v>
      </c>
      <c r="B11" s="3" t="s">
        <v>14</v>
      </c>
      <c r="C11" s="3" t="s">
        <v>18</v>
      </c>
      <c r="D11" s="3" t="s">
        <v>33</v>
      </c>
      <c r="E11" s="3" t="s">
        <v>22</v>
      </c>
      <c r="F11" s="4" t="s">
        <v>17</v>
      </c>
      <c r="G11" s="5" t="str">
        <f>UPPER(LEFT(A2,3)) &amp; "-" &amp; UPPER(LEFT(B2,3)) &amp; "-" &amp; TEXT(COUNTIF($A$2:A2,A2),"000")</f>
        <v>PEA-ALL-001</v>
      </c>
      <c r="H11" s="3"/>
      <c r="I11" s="3"/>
      <c r="J11" s="3"/>
      <c r="K11" s="3"/>
      <c r="L11" s="3">
        <v>1</v>
      </c>
      <c r="M11" s="5">
        <v>1</v>
      </c>
    </row>
    <row r="12" spans="1:13">
      <c r="A12" s="3" t="s">
        <v>13</v>
      </c>
      <c r="B12" s="3" t="s">
        <v>14</v>
      </c>
      <c r="C12" s="3" t="s">
        <v>18</v>
      </c>
      <c r="D12" s="3" t="s">
        <v>34</v>
      </c>
      <c r="E12" s="3" t="s">
        <v>22</v>
      </c>
      <c r="F12" s="4" t="s">
        <v>17</v>
      </c>
      <c r="G12" s="5" t="str">
        <f>UPPER(LEFT(A2,3)) &amp; "-" &amp; UPPER(LEFT(B2,3)) &amp; "-" &amp; TEXT(COUNTIF($A$2:A2,A2),"000")</f>
        <v>PEA-ALL-001</v>
      </c>
      <c r="H12" s="3"/>
      <c r="I12" s="3"/>
      <c r="J12" s="3"/>
      <c r="K12" s="3"/>
      <c r="L12" s="3">
        <v>1</v>
      </c>
      <c r="M12" s="5">
        <v>1</v>
      </c>
    </row>
    <row r="13" spans="1:13">
      <c r="A13" s="3" t="s">
        <v>13</v>
      </c>
      <c r="B13" s="3" t="s">
        <v>14</v>
      </c>
      <c r="C13" s="3" t="s">
        <v>18</v>
      </c>
      <c r="D13" s="3" t="s">
        <v>35</v>
      </c>
      <c r="E13" s="3" t="s">
        <v>22</v>
      </c>
      <c r="F13" s="4" t="s">
        <v>17</v>
      </c>
      <c r="G13" s="5" t="str">
        <f>UPPER(LEFT(A2,3)) &amp; "-" &amp; UPPER(LEFT(B2,3)) &amp; "-" &amp; TEXT(COUNTIF($A$2:A2,A2),"000")</f>
        <v>PEA-ALL-001</v>
      </c>
      <c r="H13" s="3"/>
      <c r="I13" s="3"/>
      <c r="J13" s="3"/>
      <c r="K13" s="3"/>
      <c r="L13" s="3">
        <v>1</v>
      </c>
      <c r="M13" s="5">
        <v>1</v>
      </c>
    </row>
    <row r="14" spans="1:13">
      <c r="A14" s="3" t="s">
        <v>13</v>
      </c>
      <c r="B14" s="3" t="s">
        <v>14</v>
      </c>
      <c r="C14" s="3" t="s">
        <v>14</v>
      </c>
      <c r="D14" s="3" t="s">
        <v>36</v>
      </c>
      <c r="E14" s="3" t="s">
        <v>20</v>
      </c>
      <c r="F14" s="4" t="s">
        <v>17</v>
      </c>
      <c r="G14" s="5" t="str">
        <f>UPPER(LEFT(A2,3)) &amp; "-" &amp; UPPER(LEFT(B2,3)) &amp; "-" &amp; TEXT(COUNTIF($A$2:A2,A2),"000")</f>
        <v>PEA-ALL-001</v>
      </c>
      <c r="H14" s="3"/>
      <c r="I14" s="3"/>
      <c r="J14" s="3"/>
      <c r="K14" s="3"/>
      <c r="L14" s="3">
        <v>1</v>
      </c>
      <c r="M14" s="5">
        <v>1</v>
      </c>
    </row>
    <row r="15" spans="1:13">
      <c r="A15" s="3" t="s">
        <v>13</v>
      </c>
      <c r="B15" s="3" t="s">
        <v>14</v>
      </c>
      <c r="C15" s="3" t="s">
        <v>14</v>
      </c>
      <c r="D15" s="3" t="s">
        <v>37</v>
      </c>
      <c r="E15" s="3" t="s">
        <v>38</v>
      </c>
      <c r="F15" s="4" t="s">
        <v>17</v>
      </c>
      <c r="G15" s="5" t="str">
        <f>UPPER(LEFT(A2,3)) &amp; "-" &amp; UPPER(LEFT(B2,3)) &amp; "-" &amp; TEXT(COUNTIF($A$2:A2,A2),"000")</f>
        <v>PEA-ALL-001</v>
      </c>
      <c r="H15" s="3"/>
      <c r="I15" s="3"/>
      <c r="J15" s="3"/>
      <c r="K15" s="3"/>
      <c r="L15" s="3">
        <v>1</v>
      </c>
      <c r="M15" s="5">
        <v>1</v>
      </c>
    </row>
    <row r="16" spans="1:13">
      <c r="A16" s="3" t="s">
        <v>13</v>
      </c>
      <c r="B16" s="3" t="s">
        <v>14</v>
      </c>
      <c r="C16" s="3" t="s">
        <v>18</v>
      </c>
      <c r="D16" s="3" t="s">
        <v>39</v>
      </c>
      <c r="E16" s="3" t="s">
        <v>20</v>
      </c>
      <c r="F16" s="4" t="s">
        <v>17</v>
      </c>
      <c r="G16" s="5" t="str">
        <f>UPPER(LEFT(A2,3)) &amp; "-" &amp; UPPER(LEFT(B2,3)) &amp; "-" &amp; TEXT(COUNTIF($A$2:A2,A2),"000")</f>
        <v>PEA-ALL-001</v>
      </c>
      <c r="H16" s="3"/>
      <c r="I16" s="3"/>
      <c r="J16" s="3"/>
      <c r="K16" s="3"/>
      <c r="L16" s="3">
        <v>1</v>
      </c>
      <c r="M16" s="5">
        <v>1</v>
      </c>
    </row>
    <row r="17" spans="1:13">
      <c r="A17" s="3" t="s">
        <v>13</v>
      </c>
      <c r="B17" s="3" t="s">
        <v>14</v>
      </c>
      <c r="C17" s="3" t="s">
        <v>18</v>
      </c>
      <c r="D17" s="3" t="s">
        <v>40</v>
      </c>
      <c r="E17" s="3" t="s">
        <v>38</v>
      </c>
      <c r="F17" s="4" t="s">
        <v>17</v>
      </c>
      <c r="G17" s="5" t="str">
        <f>UPPER(LEFT(A2,3)) &amp; "-" &amp; UPPER(LEFT(B2,3)) &amp; "-" &amp; TEXT(COUNTIF($A$2:A2,A2),"000")</f>
        <v>PEA-ALL-001</v>
      </c>
      <c r="H17" s="3"/>
      <c r="I17" s="3"/>
      <c r="J17" s="3"/>
      <c r="K17" s="3"/>
      <c r="L17" s="3">
        <v>1</v>
      </c>
      <c r="M17" s="5">
        <v>2</v>
      </c>
    </row>
    <row r="18" spans="1:13">
      <c r="A18" s="3" t="s">
        <v>13</v>
      </c>
      <c r="B18" s="3" t="s">
        <v>14</v>
      </c>
      <c r="C18" s="3" t="s">
        <v>18</v>
      </c>
      <c r="D18" s="3" t="s">
        <v>41</v>
      </c>
      <c r="E18" s="3" t="s">
        <v>22</v>
      </c>
      <c r="F18" s="4" t="s">
        <v>17</v>
      </c>
      <c r="G18" s="5" t="str">
        <f>UPPER(LEFT(A2,3)) &amp; "-" &amp; UPPER(LEFT(B2,3)) &amp; "-" &amp; TEXT(COUNTIF($A$2:A2,A2),"000")</f>
        <v>PEA-ALL-001</v>
      </c>
      <c r="H18" s="3"/>
      <c r="I18" s="3"/>
      <c r="J18" s="3"/>
      <c r="K18" s="3"/>
      <c r="L18" s="3">
        <v>1</v>
      </c>
      <c r="M18" s="5">
        <v>1</v>
      </c>
    </row>
    <row r="19" spans="1:13">
      <c r="A19" s="3" t="s">
        <v>13</v>
      </c>
      <c r="B19" s="3" t="s">
        <v>14</v>
      </c>
      <c r="C19" s="3" t="s">
        <v>18</v>
      </c>
      <c r="D19" s="3" t="s">
        <v>41</v>
      </c>
      <c r="E19" s="3" t="s">
        <v>38</v>
      </c>
      <c r="F19" s="4" t="s">
        <v>17</v>
      </c>
      <c r="G19" s="5" t="str">
        <f>UPPER(LEFT(A2,3)) &amp; "-" &amp; UPPER(LEFT(B2,3)) &amp; "-" &amp; TEXT(COUNTIF($A$2:A2,A2),"000")</f>
        <v>PEA-ALL-001</v>
      </c>
      <c r="I19" s="3"/>
      <c r="J19" s="3"/>
      <c r="K19" s="3"/>
      <c r="L19" s="3">
        <v>1</v>
      </c>
      <c r="M19" s="5">
        <v>1</v>
      </c>
    </row>
    <row r="20" spans="1:13">
      <c r="A20" s="3" t="s">
        <v>13</v>
      </c>
      <c r="B20" s="3" t="s">
        <v>14</v>
      </c>
      <c r="C20" s="3" t="s">
        <v>18</v>
      </c>
      <c r="D20" s="3" t="s">
        <v>42</v>
      </c>
      <c r="E20" s="3" t="s">
        <v>38</v>
      </c>
      <c r="F20" s="4" t="s">
        <v>17</v>
      </c>
      <c r="G20" s="5" t="str">
        <f>UPPER(LEFT(A2,3)) &amp; "-" &amp; UPPER(LEFT(B2,3)) &amp; "-" &amp; TEXT(COUNTIF($A$2:A2,A2),"000")</f>
        <v>PEA-ALL-001</v>
      </c>
      <c r="I20" s="3"/>
      <c r="J20" s="3"/>
      <c r="K20" s="3"/>
      <c r="L20" s="3">
        <v>1</v>
      </c>
      <c r="M20" s="5">
        <v>1</v>
      </c>
    </row>
    <row r="21" spans="1:13" ht="15.75" customHeight="1">
      <c r="A21" s="3" t="s">
        <v>43</v>
      </c>
      <c r="B21" s="3" t="s">
        <v>14</v>
      </c>
      <c r="C21" s="3" t="s">
        <v>18</v>
      </c>
      <c r="D21" s="3" t="s">
        <v>44</v>
      </c>
      <c r="E21" s="3" t="s">
        <v>22</v>
      </c>
      <c r="F21" s="4" t="s">
        <v>17</v>
      </c>
      <c r="G21" s="5" t="str">
        <f>UPPER(LEFT(A2,3)) &amp; "-" &amp; UPPER(LEFT(B2,3)) &amp; "-" &amp; TEXT(COUNTIF($A$2:A2,A2),"000")</f>
        <v>PEA-ALL-001</v>
      </c>
      <c r="I21" s="3"/>
      <c r="J21" s="3"/>
      <c r="K21" s="3"/>
      <c r="L21" s="3">
        <v>1</v>
      </c>
      <c r="M21" s="5">
        <v>1</v>
      </c>
    </row>
    <row r="22" spans="1:13" ht="15.75" customHeight="1">
      <c r="A22" s="3" t="s">
        <v>13</v>
      </c>
      <c r="B22" s="3" t="s">
        <v>14</v>
      </c>
      <c r="C22" s="3" t="s">
        <v>18</v>
      </c>
      <c r="D22" s="3" t="s">
        <v>45</v>
      </c>
      <c r="E22" s="3" t="s">
        <v>20</v>
      </c>
      <c r="F22" s="4" t="s">
        <v>17</v>
      </c>
      <c r="G22" s="5" t="str">
        <f>UPPER(LEFT(A2,3)) &amp; "-" &amp; UPPER(LEFT(B2,3)) &amp; "-" &amp; TEXT(COUNTIF($A$2:A2,A2),"000")</f>
        <v>PEA-ALL-001</v>
      </c>
      <c r="I22" s="3"/>
      <c r="J22" s="3"/>
      <c r="K22" s="3"/>
      <c r="L22" s="3">
        <v>1</v>
      </c>
      <c r="M22" s="5">
        <v>1</v>
      </c>
    </row>
    <row r="23" spans="1:13" ht="15.75" customHeight="1">
      <c r="A23" s="3" t="s">
        <v>13</v>
      </c>
      <c r="B23" s="3" t="s">
        <v>14</v>
      </c>
      <c r="C23" s="3" t="s">
        <v>18</v>
      </c>
      <c r="D23" s="3" t="s">
        <v>46</v>
      </c>
      <c r="E23" s="3" t="s">
        <v>20</v>
      </c>
      <c r="F23" s="4" t="s">
        <v>17</v>
      </c>
      <c r="G23" s="5" t="str">
        <f>UPPER(LEFT(A2,3)) &amp; "-" &amp; UPPER(LEFT(B2,3)) &amp; "-" &amp; TEXT(COUNTIF($A$2:A2,A2),"000")</f>
        <v>PEA-ALL-001</v>
      </c>
      <c r="I23" s="3"/>
      <c r="J23" s="3"/>
      <c r="K23" s="3"/>
      <c r="L23" s="3">
        <v>1</v>
      </c>
      <c r="M23" s="5">
        <v>1</v>
      </c>
    </row>
    <row r="24" spans="1:13" ht="15.75" customHeight="1">
      <c r="A24" s="3" t="s">
        <v>13</v>
      </c>
      <c r="B24" s="3" t="s">
        <v>14</v>
      </c>
      <c r="C24" s="3" t="s">
        <v>18</v>
      </c>
      <c r="D24" s="3" t="s">
        <v>47</v>
      </c>
      <c r="E24" s="3" t="s">
        <v>20</v>
      </c>
      <c r="F24" s="4" t="s">
        <v>17</v>
      </c>
      <c r="G24" s="5" t="str">
        <f>UPPER(LEFT(A2,3)) &amp; "-" &amp; UPPER(LEFT(B2,3)) &amp; "-" &amp; TEXT(COUNTIF($A$2:A2,A2),"000")</f>
        <v>PEA-ALL-001</v>
      </c>
      <c r="I24" s="3"/>
      <c r="J24" s="3"/>
      <c r="K24" s="3"/>
      <c r="L24" s="3">
        <v>1</v>
      </c>
      <c r="M24" s="5">
        <v>1</v>
      </c>
    </row>
    <row r="25" spans="1:13" ht="15.75" customHeight="1">
      <c r="A25" s="3" t="s">
        <v>13</v>
      </c>
      <c r="B25" s="3" t="s">
        <v>14</v>
      </c>
      <c r="C25" s="3" t="s">
        <v>48</v>
      </c>
      <c r="D25" s="3" t="s">
        <v>49</v>
      </c>
      <c r="E25" s="3" t="s">
        <v>38</v>
      </c>
      <c r="F25" s="4" t="s">
        <v>17</v>
      </c>
      <c r="G25" s="5" t="str">
        <f>UPPER(LEFT(A2,3)) &amp; "-" &amp; UPPER(LEFT(B2,3)) &amp; "-" &amp; TEXT(COUNTIF($A$2:A2,A2),"000")</f>
        <v>PEA-ALL-001</v>
      </c>
      <c r="I25" s="3"/>
      <c r="J25" s="3"/>
      <c r="K25" s="3"/>
      <c r="L25" s="3">
        <v>1</v>
      </c>
      <c r="M25" s="5">
        <v>1</v>
      </c>
    </row>
    <row r="26" spans="1:13" ht="15.75" customHeight="1">
      <c r="A26" s="3" t="s">
        <v>13</v>
      </c>
      <c r="B26" s="3" t="s">
        <v>50</v>
      </c>
      <c r="C26" s="3" t="s">
        <v>50</v>
      </c>
      <c r="D26" s="3" t="s">
        <v>51</v>
      </c>
      <c r="E26" s="6" t="s">
        <v>52</v>
      </c>
      <c r="F26" s="4" t="s">
        <v>17</v>
      </c>
      <c r="G26" s="5" t="str">
        <f>UPPER(LEFT(A2,3)) &amp; "-" &amp; UPPER(LEFT(B2,3)) &amp; "-" &amp; TEXT(COUNTIF($A$2:A2,A2),"000")</f>
        <v>PEA-ALL-001</v>
      </c>
      <c r="I26" s="3"/>
      <c r="J26" s="3"/>
      <c r="K26" s="3"/>
      <c r="L26" s="3">
        <v>1</v>
      </c>
      <c r="M26" s="5">
        <v>1</v>
      </c>
    </row>
    <row r="27" spans="1:13" ht="15.75" customHeight="1">
      <c r="A27" s="3" t="s">
        <v>13</v>
      </c>
      <c r="B27" s="3" t="s">
        <v>50</v>
      </c>
      <c r="C27" s="3" t="s">
        <v>50</v>
      </c>
      <c r="D27" s="3" t="s">
        <v>53</v>
      </c>
      <c r="E27" s="6" t="s">
        <v>52</v>
      </c>
      <c r="F27" s="4" t="s">
        <v>17</v>
      </c>
      <c r="G27" s="5" t="str">
        <f>UPPER(LEFT(A2,3)) &amp; "-" &amp; UPPER(LEFT(B2,3)) &amp; "-" &amp; TEXT(COUNTIF($A$2:A2,A2),"000")</f>
        <v>PEA-ALL-001</v>
      </c>
      <c r="I27" s="3"/>
      <c r="J27" s="3"/>
      <c r="K27" s="3"/>
      <c r="L27" s="3">
        <v>1</v>
      </c>
      <c r="M27" s="5">
        <v>1</v>
      </c>
    </row>
    <row r="28" spans="1:13" ht="15.75" customHeight="1">
      <c r="A28" s="3" t="s">
        <v>13</v>
      </c>
      <c r="B28" s="3" t="s">
        <v>50</v>
      </c>
      <c r="C28" s="3" t="s">
        <v>50</v>
      </c>
      <c r="D28" s="3" t="s">
        <v>54</v>
      </c>
      <c r="E28" s="6" t="s">
        <v>52</v>
      </c>
      <c r="F28" s="4" t="s">
        <v>17</v>
      </c>
      <c r="G28" s="5" t="str">
        <f>UPPER(LEFT(A2,3)) &amp; "-" &amp; UPPER(LEFT(B2,3)) &amp; "-" &amp; TEXT(COUNTIF($A$2:A2,A2),"000")</f>
        <v>PEA-ALL-001</v>
      </c>
      <c r="I28" s="3"/>
      <c r="J28" s="3"/>
      <c r="K28" s="3"/>
      <c r="L28" s="3">
        <v>1</v>
      </c>
      <c r="M28" s="5">
        <v>1</v>
      </c>
    </row>
    <row r="29" spans="1:13" ht="15.75" customHeight="1">
      <c r="A29" s="3" t="s">
        <v>13</v>
      </c>
      <c r="B29" s="3" t="s">
        <v>50</v>
      </c>
      <c r="C29" s="3" t="s">
        <v>50</v>
      </c>
      <c r="D29" s="3" t="s">
        <v>55</v>
      </c>
      <c r="E29" s="6" t="s">
        <v>52</v>
      </c>
      <c r="F29" s="4" t="s">
        <v>17</v>
      </c>
      <c r="G29" s="5" t="str">
        <f>UPPER(LEFT(A2,3)) &amp; "-" &amp; UPPER(LEFT(B2,3)) &amp; "-" &amp; TEXT(COUNTIF($A$2:A2,A2),"000")</f>
        <v>PEA-ALL-001</v>
      </c>
      <c r="I29" s="3"/>
      <c r="J29" s="3"/>
      <c r="K29" s="3"/>
      <c r="L29" s="3">
        <v>1</v>
      </c>
      <c r="M29" s="5">
        <v>1</v>
      </c>
    </row>
    <row r="30" spans="1:13" ht="15.75" customHeight="1">
      <c r="A30" s="3" t="s">
        <v>13</v>
      </c>
      <c r="B30" s="3" t="s">
        <v>50</v>
      </c>
      <c r="C30" s="3" t="s">
        <v>50</v>
      </c>
      <c r="D30" s="3" t="s">
        <v>56</v>
      </c>
      <c r="E30" s="6" t="s">
        <v>52</v>
      </c>
      <c r="F30" s="4" t="s">
        <v>17</v>
      </c>
      <c r="G30" s="5" t="str">
        <f>UPPER(LEFT(A2,3)) &amp; "-" &amp; UPPER(LEFT(B2,3)) &amp; "-" &amp; TEXT(COUNTIF($A$2:A2,A2),"000")</f>
        <v>PEA-ALL-001</v>
      </c>
      <c r="I30" s="3"/>
      <c r="J30" s="3"/>
      <c r="K30" s="3"/>
      <c r="L30" s="3">
        <v>1</v>
      </c>
      <c r="M30" s="5">
        <v>1</v>
      </c>
    </row>
    <row r="31" spans="1:13" ht="15.75" customHeight="1">
      <c r="A31" s="3" t="s">
        <v>13</v>
      </c>
      <c r="B31" s="3" t="s">
        <v>50</v>
      </c>
      <c r="C31" s="3" t="s">
        <v>50</v>
      </c>
      <c r="D31" s="3" t="s">
        <v>57</v>
      </c>
      <c r="E31" s="6" t="s">
        <v>52</v>
      </c>
      <c r="F31" s="4" t="s">
        <v>17</v>
      </c>
      <c r="G31" s="5" t="str">
        <f>UPPER(LEFT(A2,3)) &amp; "-" &amp; UPPER(LEFT(B2,3)) &amp; "-" &amp; TEXT(COUNTIF($A$2:A2,A2),"000")</f>
        <v>PEA-ALL-001</v>
      </c>
      <c r="I31" s="3"/>
      <c r="J31" s="3"/>
      <c r="K31" s="3"/>
      <c r="L31" s="3">
        <v>1</v>
      </c>
      <c r="M31" s="5">
        <v>1</v>
      </c>
    </row>
    <row r="32" spans="1:13" ht="15.75" customHeight="1">
      <c r="A32" s="3" t="s">
        <v>13</v>
      </c>
      <c r="B32" s="3" t="s">
        <v>50</v>
      </c>
      <c r="C32" s="3" t="s">
        <v>50</v>
      </c>
      <c r="D32" s="3" t="s">
        <v>58</v>
      </c>
      <c r="E32" s="6" t="s">
        <v>52</v>
      </c>
      <c r="F32" s="4" t="s">
        <v>17</v>
      </c>
      <c r="G32" s="5" t="str">
        <f>UPPER(LEFT(A2,3)) &amp; "-" &amp; UPPER(LEFT(B2,3)) &amp; "-" &amp; TEXT(COUNTIF($A$2:A2,A2),"000")</f>
        <v>PEA-ALL-001</v>
      </c>
      <c r="I32" s="3"/>
      <c r="J32" s="3"/>
      <c r="K32" s="3"/>
      <c r="L32" s="3">
        <v>1</v>
      </c>
      <c r="M32" s="5">
        <v>1</v>
      </c>
    </row>
    <row r="33" spans="1:13" ht="15.75" customHeight="1">
      <c r="A33" s="3" t="s">
        <v>13</v>
      </c>
      <c r="B33" s="3" t="s">
        <v>50</v>
      </c>
      <c r="C33" s="3" t="s">
        <v>50</v>
      </c>
      <c r="D33" s="3" t="s">
        <v>59</v>
      </c>
      <c r="E33" s="6" t="s">
        <v>52</v>
      </c>
      <c r="F33" s="4" t="s">
        <v>17</v>
      </c>
      <c r="G33" s="5" t="str">
        <f>UPPER(LEFT(A2,3)) &amp; "-" &amp; UPPER(LEFT(B2,3)) &amp; "-" &amp; TEXT(COUNTIF($A$2:A2,A2),"000")</f>
        <v>PEA-ALL-001</v>
      </c>
      <c r="I33" s="3"/>
      <c r="J33" s="3"/>
      <c r="K33" s="3"/>
      <c r="L33" s="3">
        <v>1</v>
      </c>
      <c r="M33" s="5">
        <v>1</v>
      </c>
    </row>
    <row r="34" spans="1:13" ht="15.75" customHeight="1">
      <c r="A34" s="3" t="s">
        <v>13</v>
      </c>
      <c r="B34" s="3" t="s">
        <v>50</v>
      </c>
      <c r="C34" s="3" t="s">
        <v>50</v>
      </c>
      <c r="D34" s="3" t="s">
        <v>60</v>
      </c>
      <c r="E34" s="6" t="s">
        <v>52</v>
      </c>
      <c r="F34" s="4" t="s">
        <v>17</v>
      </c>
      <c r="G34" s="5" t="str">
        <f>UPPER(LEFT(A2,3)) &amp; "-" &amp; UPPER(LEFT(B2,3)) &amp; "-" &amp; TEXT(COUNTIF($A$2:A2,A2),"000")</f>
        <v>PEA-ALL-001</v>
      </c>
      <c r="I34" s="3"/>
      <c r="J34" s="3"/>
      <c r="K34" s="3"/>
      <c r="L34" s="3">
        <v>1</v>
      </c>
      <c r="M34" s="5">
        <v>1</v>
      </c>
    </row>
    <row r="35" spans="1:13" ht="15.75" customHeight="1">
      <c r="A35" s="3" t="s">
        <v>13</v>
      </c>
      <c r="B35" s="3" t="s">
        <v>50</v>
      </c>
      <c r="C35" s="3" t="s">
        <v>50</v>
      </c>
      <c r="D35" s="3" t="s">
        <v>61</v>
      </c>
      <c r="E35" s="6" t="s">
        <v>52</v>
      </c>
      <c r="F35" s="4" t="s">
        <v>17</v>
      </c>
      <c r="G35" s="5" t="str">
        <f>UPPER(LEFT(A2,3)) &amp; "-" &amp; UPPER(LEFT(B2,3)) &amp; "-" &amp; TEXT(COUNTIF($A$2:A2,A2),"000")</f>
        <v>PEA-ALL-001</v>
      </c>
      <c r="I35" s="3"/>
      <c r="J35" s="3"/>
      <c r="K35" s="3"/>
      <c r="L35" s="3">
        <v>1</v>
      </c>
      <c r="M35" s="5">
        <v>1</v>
      </c>
    </row>
    <row r="36" spans="1:13" ht="15.75" customHeight="1">
      <c r="A36" s="3" t="s">
        <v>13</v>
      </c>
      <c r="B36" s="3" t="s">
        <v>50</v>
      </c>
      <c r="C36" s="3" t="s">
        <v>50</v>
      </c>
      <c r="D36" s="3" t="s">
        <v>62</v>
      </c>
      <c r="E36" s="6" t="s">
        <v>52</v>
      </c>
      <c r="F36" s="4" t="s">
        <v>17</v>
      </c>
      <c r="G36" s="5" t="str">
        <f>UPPER(LEFT(A2,3)) &amp; "-" &amp; UPPER(LEFT(B2,3)) &amp; "-" &amp; TEXT(COUNTIF($A$2:A2,A2),"000")</f>
        <v>PEA-ALL-001</v>
      </c>
      <c r="I36" s="3"/>
      <c r="J36" s="3"/>
      <c r="K36" s="3"/>
      <c r="L36" s="3">
        <v>1</v>
      </c>
      <c r="M36" s="5">
        <v>1</v>
      </c>
    </row>
    <row r="37" spans="1:13" ht="15.75" customHeight="1">
      <c r="A37" s="3" t="s">
        <v>13</v>
      </c>
      <c r="B37" s="3" t="s">
        <v>50</v>
      </c>
      <c r="C37" s="3" t="s">
        <v>50</v>
      </c>
      <c r="D37" s="3" t="s">
        <v>63</v>
      </c>
      <c r="E37" s="6" t="s">
        <v>52</v>
      </c>
      <c r="F37" s="4" t="s">
        <v>17</v>
      </c>
      <c r="G37" s="5" t="str">
        <f>UPPER(LEFT(A2,3)) &amp; "-" &amp; UPPER(LEFT(B2,3)) &amp; "-" &amp; TEXT(COUNTIF($A$2:A2,A2),"000")</f>
        <v>PEA-ALL-001</v>
      </c>
      <c r="I37" s="3"/>
      <c r="J37" s="3"/>
      <c r="K37" s="3"/>
      <c r="L37" s="3">
        <v>1</v>
      </c>
      <c r="M37" s="5">
        <v>1</v>
      </c>
    </row>
    <row r="38" spans="1:13" ht="15.75" customHeight="1">
      <c r="A38" s="3" t="s">
        <v>13</v>
      </c>
      <c r="B38" s="3" t="s">
        <v>50</v>
      </c>
      <c r="C38" s="3" t="s">
        <v>50</v>
      </c>
      <c r="D38" s="3" t="s">
        <v>64</v>
      </c>
      <c r="E38" s="6" t="s">
        <v>52</v>
      </c>
      <c r="F38" s="4" t="s">
        <v>17</v>
      </c>
      <c r="G38" s="5" t="str">
        <f>UPPER(LEFT(A2,3)) &amp; "-" &amp; UPPER(LEFT(B2,3)) &amp; "-" &amp; TEXT(COUNTIF($A$2:A2,A2),"000")</f>
        <v>PEA-ALL-001</v>
      </c>
      <c r="L38" s="5">
        <v>2</v>
      </c>
      <c r="M38" s="5">
        <v>2</v>
      </c>
    </row>
    <row r="39" spans="1:13" ht="15.75" customHeight="1">
      <c r="A39" s="3" t="s">
        <v>13</v>
      </c>
      <c r="B39" s="3" t="s">
        <v>50</v>
      </c>
      <c r="C39" s="3" t="s">
        <v>65</v>
      </c>
      <c r="D39" s="3" t="s">
        <v>66</v>
      </c>
      <c r="E39" s="6" t="s">
        <v>52</v>
      </c>
      <c r="F39" s="4" t="s">
        <v>17</v>
      </c>
      <c r="G39" s="5" t="str">
        <f>UPPER(LEFT(A2,3)) &amp; "-" &amp; UPPER(LEFT(B2,3)) &amp; "-" &amp; TEXT(COUNTIF($A$2:A2,A2),"000")</f>
        <v>PEA-ALL-001</v>
      </c>
      <c r="I39" s="3"/>
      <c r="J39" s="3"/>
      <c r="K39" s="3"/>
      <c r="L39" s="3">
        <v>2</v>
      </c>
      <c r="M39" s="5">
        <v>2</v>
      </c>
    </row>
    <row r="40" spans="1:13" ht="15.75" customHeight="1">
      <c r="A40" s="3" t="s">
        <v>13</v>
      </c>
      <c r="B40" s="3" t="s">
        <v>50</v>
      </c>
      <c r="C40" s="3" t="s">
        <v>65</v>
      </c>
      <c r="D40" s="3" t="s">
        <v>64</v>
      </c>
      <c r="E40" s="6" t="s">
        <v>52</v>
      </c>
      <c r="F40" s="4" t="s">
        <v>17</v>
      </c>
      <c r="G40" s="5" t="str">
        <f>UPPER(LEFT(A2,3)) &amp; "-" &amp; UPPER(LEFT(B2,3)) &amp; "-" &amp; TEXT(COUNTIF($A$2:A2,A2),"000")</f>
        <v>PEA-ALL-001</v>
      </c>
      <c r="I40" s="3"/>
      <c r="J40" s="3"/>
      <c r="K40" s="3"/>
      <c r="L40" s="3">
        <v>1</v>
      </c>
      <c r="M40" s="5">
        <v>1</v>
      </c>
    </row>
    <row r="41" spans="1:13" ht="15.75" customHeight="1">
      <c r="A41" s="3" t="s">
        <v>13</v>
      </c>
      <c r="B41" s="3" t="s">
        <v>50</v>
      </c>
      <c r="C41" s="3" t="s">
        <v>65</v>
      </c>
      <c r="D41" s="3" t="s">
        <v>67</v>
      </c>
      <c r="E41" s="6" t="s">
        <v>52</v>
      </c>
      <c r="F41" s="4" t="s">
        <v>17</v>
      </c>
      <c r="G41" s="5" t="str">
        <f>UPPER(LEFT(A2,3)) &amp; "-" &amp; UPPER(LEFT(B2,3)) &amp; "-" &amp; TEXT(COUNTIF($A$2:A2,A2),"000")</f>
        <v>PEA-ALL-001</v>
      </c>
      <c r="I41" s="3"/>
      <c r="J41" s="3"/>
      <c r="K41" s="3"/>
      <c r="L41" s="3">
        <v>1</v>
      </c>
      <c r="M41" s="5">
        <v>1</v>
      </c>
    </row>
    <row r="42" spans="1:13" ht="15.75" customHeight="1">
      <c r="A42" s="3" t="s">
        <v>13</v>
      </c>
      <c r="B42" s="3" t="s">
        <v>68</v>
      </c>
      <c r="C42" s="3" t="s">
        <v>68</v>
      </c>
      <c r="D42" s="3" t="s">
        <v>69</v>
      </c>
      <c r="E42" s="6" t="s">
        <v>52</v>
      </c>
      <c r="F42" s="4" t="s">
        <v>17</v>
      </c>
      <c r="G42" s="5" t="str">
        <f>UPPER(LEFT(A2,3)) &amp; "-" &amp; UPPER(LEFT(B2,3)) &amp; "-" &amp; TEXT(COUNTIF($A$2:A2,A2),"000")</f>
        <v>PEA-ALL-001</v>
      </c>
      <c r="I42" s="3"/>
      <c r="J42" s="3"/>
      <c r="K42" s="3"/>
      <c r="L42" s="3">
        <v>1</v>
      </c>
      <c r="M42" s="5">
        <v>1</v>
      </c>
    </row>
    <row r="43" spans="1:13" ht="15.75" customHeight="1">
      <c r="A43" s="3" t="s">
        <v>13</v>
      </c>
      <c r="B43" s="3" t="s">
        <v>68</v>
      </c>
      <c r="C43" s="3" t="s">
        <v>68</v>
      </c>
      <c r="D43" s="3" t="s">
        <v>70</v>
      </c>
      <c r="E43" s="6" t="s">
        <v>52</v>
      </c>
      <c r="F43" s="4" t="s">
        <v>17</v>
      </c>
      <c r="G43" s="5" t="str">
        <f>UPPER(LEFT(A2,3)) &amp; "-" &amp; UPPER(LEFT(B2,3)) &amp; "-" &amp; TEXT(COUNTIF($A$2:A2,A2),"000")</f>
        <v>PEA-ALL-001</v>
      </c>
      <c r="I43" s="3"/>
      <c r="J43" s="3"/>
      <c r="K43" s="3"/>
      <c r="L43" s="3">
        <v>1</v>
      </c>
      <c r="M43" s="5">
        <v>1</v>
      </c>
    </row>
    <row r="44" spans="1:13" ht="15.75" customHeight="1">
      <c r="A44" s="3" t="s">
        <v>13</v>
      </c>
      <c r="B44" s="3" t="s">
        <v>68</v>
      </c>
      <c r="C44" s="3" t="s">
        <v>68</v>
      </c>
      <c r="D44" s="3" t="s">
        <v>71</v>
      </c>
      <c r="E44" s="6" t="s">
        <v>52</v>
      </c>
      <c r="F44" s="4" t="s">
        <v>17</v>
      </c>
      <c r="G44" s="5" t="str">
        <f>UPPER(LEFT(A2,3)) &amp; "-" &amp; UPPER(LEFT(B2,3)) &amp; "-" &amp; TEXT(COUNTIF($A$2:A2,A2),"000")</f>
        <v>PEA-ALL-001</v>
      </c>
      <c r="I44" s="3"/>
      <c r="J44" s="3"/>
      <c r="K44" s="3"/>
      <c r="L44" s="3">
        <v>1</v>
      </c>
      <c r="M44" s="5">
        <v>1</v>
      </c>
    </row>
    <row r="45" spans="1:13" ht="15.75" customHeight="1">
      <c r="A45" s="3" t="s">
        <v>13</v>
      </c>
      <c r="B45" s="3" t="s">
        <v>72</v>
      </c>
      <c r="C45" s="3" t="s">
        <v>73</v>
      </c>
      <c r="D45" s="3" t="s">
        <v>74</v>
      </c>
      <c r="E45" s="3" t="s">
        <v>75</v>
      </c>
      <c r="F45" s="3"/>
      <c r="G45" s="5" t="s">
        <v>236</v>
      </c>
      <c r="H45" s="4">
        <v>2</v>
      </c>
      <c r="I45" s="3"/>
      <c r="J45" s="3"/>
      <c r="K45" s="3"/>
      <c r="L45" s="3">
        <v>20</v>
      </c>
      <c r="M45" s="5">
        <v>22</v>
      </c>
    </row>
    <row r="46" spans="1:13" ht="15.75" customHeight="1">
      <c r="A46" s="3" t="s">
        <v>13</v>
      </c>
      <c r="B46" s="3" t="s">
        <v>72</v>
      </c>
      <c r="C46" s="3" t="s">
        <v>73</v>
      </c>
      <c r="D46" s="3" t="s">
        <v>74</v>
      </c>
      <c r="E46" s="3" t="s">
        <v>75</v>
      </c>
      <c r="F46" s="3"/>
      <c r="H46" s="7">
        <v>2.4500000000000002</v>
      </c>
      <c r="I46" s="3"/>
      <c r="J46" s="3"/>
      <c r="K46" s="3"/>
      <c r="L46" s="3">
        <v>20</v>
      </c>
      <c r="M46" s="5">
        <v>22</v>
      </c>
    </row>
    <row r="47" spans="1:13" ht="15.75" customHeight="1">
      <c r="A47" s="3" t="s">
        <v>13</v>
      </c>
      <c r="B47" s="3" t="s">
        <v>72</v>
      </c>
      <c r="C47" s="3" t="s">
        <v>73</v>
      </c>
      <c r="D47" s="3" t="s">
        <v>74</v>
      </c>
      <c r="E47" s="3" t="s">
        <v>75</v>
      </c>
      <c r="F47" s="3"/>
      <c r="H47" s="8">
        <v>2.09</v>
      </c>
      <c r="I47" s="3"/>
      <c r="J47" s="3"/>
      <c r="K47" s="3"/>
      <c r="L47" s="3">
        <v>20</v>
      </c>
      <c r="M47" s="5">
        <v>22</v>
      </c>
    </row>
    <row r="48" spans="1:13" ht="15.75" customHeight="1">
      <c r="A48" s="3" t="s">
        <v>13</v>
      </c>
      <c r="B48" s="3" t="s">
        <v>72</v>
      </c>
      <c r="C48" s="3" t="s">
        <v>73</v>
      </c>
      <c r="D48" s="3" t="s">
        <v>74</v>
      </c>
      <c r="E48" s="3" t="s">
        <v>75</v>
      </c>
      <c r="F48" s="3"/>
      <c r="H48" s="8">
        <v>1.95</v>
      </c>
      <c r="J48" s="3"/>
      <c r="K48" s="3"/>
      <c r="L48" s="3">
        <v>20</v>
      </c>
      <c r="M48" s="5">
        <v>22</v>
      </c>
    </row>
    <row r="49" spans="1:13" ht="15.75" customHeight="1">
      <c r="A49" s="3" t="s">
        <v>13</v>
      </c>
      <c r="B49" s="3" t="s">
        <v>72</v>
      </c>
      <c r="C49" s="3" t="s">
        <v>73</v>
      </c>
      <c r="D49" s="3" t="s">
        <v>74</v>
      </c>
      <c r="E49" s="3" t="s">
        <v>75</v>
      </c>
      <c r="F49" s="3"/>
      <c r="H49" s="8">
        <v>2.5099999999999998</v>
      </c>
      <c r="I49" s="7"/>
      <c r="J49" s="3"/>
      <c r="K49" s="3"/>
      <c r="L49" s="3">
        <v>20</v>
      </c>
      <c r="M49" s="5">
        <v>22</v>
      </c>
    </row>
    <row r="50" spans="1:13" ht="15.75" customHeight="1">
      <c r="A50" s="3" t="s">
        <v>13</v>
      </c>
      <c r="B50" s="3" t="s">
        <v>72</v>
      </c>
      <c r="C50" s="3" t="s">
        <v>73</v>
      </c>
      <c r="D50" s="3" t="s">
        <v>74</v>
      </c>
      <c r="E50" s="3" t="s">
        <v>75</v>
      </c>
      <c r="F50" s="3"/>
      <c r="H50" s="7">
        <v>2.0299999999999998</v>
      </c>
      <c r="J50" s="3"/>
      <c r="K50" s="3"/>
      <c r="L50" s="3">
        <v>20</v>
      </c>
      <c r="M50" s="5">
        <v>22</v>
      </c>
    </row>
    <row r="51" spans="1:13" ht="15.75" customHeight="1">
      <c r="A51" s="3" t="s">
        <v>13</v>
      </c>
      <c r="B51" s="3" t="s">
        <v>72</v>
      </c>
      <c r="C51" s="3" t="s">
        <v>73</v>
      </c>
      <c r="D51" s="3" t="s">
        <v>74</v>
      </c>
      <c r="E51" s="3" t="s">
        <v>75</v>
      </c>
      <c r="F51" s="3"/>
      <c r="H51" s="7">
        <v>2.5499999999999998</v>
      </c>
      <c r="I51" s="7"/>
      <c r="J51" s="3"/>
      <c r="K51" s="3"/>
      <c r="L51" s="3">
        <v>20</v>
      </c>
      <c r="M51" s="5">
        <v>22</v>
      </c>
    </row>
    <row r="52" spans="1:13" ht="15.75" customHeight="1">
      <c r="A52" s="3" t="s">
        <v>13</v>
      </c>
      <c r="B52" s="3" t="s">
        <v>72</v>
      </c>
      <c r="C52" s="3" t="s">
        <v>73</v>
      </c>
      <c r="D52" s="3" t="s">
        <v>74</v>
      </c>
      <c r="E52" s="3" t="s">
        <v>75</v>
      </c>
      <c r="F52" s="3"/>
      <c r="H52" s="7">
        <v>2.31</v>
      </c>
      <c r="J52" s="3"/>
      <c r="K52" s="3"/>
      <c r="L52" s="3">
        <v>20</v>
      </c>
      <c r="M52" s="5">
        <v>22</v>
      </c>
    </row>
    <row r="53" spans="1:13" ht="15.75" customHeight="1">
      <c r="A53" s="3" t="s">
        <v>13</v>
      </c>
      <c r="B53" s="3" t="s">
        <v>72</v>
      </c>
      <c r="C53" s="3" t="s">
        <v>73</v>
      </c>
      <c r="D53" s="3" t="s">
        <v>74</v>
      </c>
      <c r="E53" s="3" t="s">
        <v>75</v>
      </c>
      <c r="F53" s="3"/>
      <c r="H53" s="7">
        <v>2.4500000000000002</v>
      </c>
      <c r="I53" s="7"/>
      <c r="J53" s="3"/>
      <c r="K53" s="3"/>
      <c r="L53" s="3">
        <v>20</v>
      </c>
      <c r="M53" s="5">
        <v>22</v>
      </c>
    </row>
    <row r="54" spans="1:13" ht="15.75" customHeight="1">
      <c r="A54" s="3" t="s">
        <v>13</v>
      </c>
      <c r="B54" s="3" t="s">
        <v>72</v>
      </c>
      <c r="C54" s="3" t="s">
        <v>73</v>
      </c>
      <c r="D54" s="3" t="s">
        <v>74</v>
      </c>
      <c r="E54" s="3" t="s">
        <v>75</v>
      </c>
      <c r="F54" s="3"/>
      <c r="H54" s="7">
        <v>2.38</v>
      </c>
      <c r="J54" s="3"/>
      <c r="K54" s="3"/>
      <c r="L54" s="3">
        <v>20</v>
      </c>
      <c r="M54" s="5">
        <v>22</v>
      </c>
    </row>
    <row r="55" spans="1:13" ht="15.75" customHeight="1">
      <c r="A55" s="3" t="s">
        <v>13</v>
      </c>
      <c r="B55" s="3" t="s">
        <v>72</v>
      </c>
      <c r="C55" s="3" t="s">
        <v>73</v>
      </c>
      <c r="D55" s="3" t="s">
        <v>74</v>
      </c>
      <c r="E55" s="3" t="s">
        <v>75</v>
      </c>
      <c r="F55" s="3"/>
      <c r="H55" s="7">
        <v>2.38</v>
      </c>
      <c r="I55" s="7"/>
      <c r="J55" s="3"/>
      <c r="K55" s="3"/>
      <c r="L55" s="3">
        <v>20</v>
      </c>
      <c r="M55" s="5">
        <v>22</v>
      </c>
    </row>
    <row r="56" spans="1:13" ht="15.75" customHeight="1">
      <c r="A56" s="3" t="s">
        <v>13</v>
      </c>
      <c r="B56" s="3" t="s">
        <v>72</v>
      </c>
      <c r="C56" s="3" t="s">
        <v>73</v>
      </c>
      <c r="D56" s="3" t="s">
        <v>74</v>
      </c>
      <c r="E56" s="3" t="s">
        <v>75</v>
      </c>
      <c r="F56" s="8" t="s">
        <v>76</v>
      </c>
      <c r="H56" s="8"/>
      <c r="J56" s="3"/>
      <c r="K56" s="3"/>
      <c r="L56" s="3">
        <v>20</v>
      </c>
      <c r="M56" s="5">
        <v>22</v>
      </c>
    </row>
    <row r="57" spans="1:13" ht="15.75" customHeight="1">
      <c r="A57" s="3" t="s">
        <v>13</v>
      </c>
      <c r="B57" s="3" t="s">
        <v>72</v>
      </c>
      <c r="C57" s="3" t="s">
        <v>73</v>
      </c>
      <c r="D57" s="3" t="s">
        <v>77</v>
      </c>
      <c r="E57" s="3" t="s">
        <v>78</v>
      </c>
      <c r="F57" s="3"/>
      <c r="G57" s="5" t="s">
        <v>236</v>
      </c>
      <c r="H57" s="8">
        <v>5</v>
      </c>
      <c r="I57" s="7"/>
      <c r="J57" s="3"/>
      <c r="K57" s="3"/>
      <c r="L57" s="3">
        <v>11</v>
      </c>
      <c r="M57" s="5">
        <v>11</v>
      </c>
    </row>
    <row r="58" spans="1:13" ht="15.75" customHeight="1">
      <c r="A58" s="3" t="s">
        <v>13</v>
      </c>
      <c r="B58" s="3" t="s">
        <v>72</v>
      </c>
      <c r="C58" s="3" t="s">
        <v>79</v>
      </c>
      <c r="D58" s="3" t="s">
        <v>55</v>
      </c>
      <c r="E58" s="6" t="s">
        <v>80</v>
      </c>
      <c r="F58" s="3"/>
      <c r="G58" s="5" t="s">
        <v>236</v>
      </c>
      <c r="H58" s="8">
        <v>1.5</v>
      </c>
      <c r="J58" s="3"/>
      <c r="K58" s="3"/>
      <c r="L58" s="3">
        <v>4</v>
      </c>
      <c r="M58" s="5">
        <v>4</v>
      </c>
    </row>
    <row r="59" spans="1:13" ht="15.75" customHeight="1">
      <c r="A59" s="3" t="s">
        <v>13</v>
      </c>
      <c r="B59" s="3" t="s">
        <v>72</v>
      </c>
      <c r="C59" s="3" t="s">
        <v>79</v>
      </c>
      <c r="D59" s="3" t="s">
        <v>81</v>
      </c>
      <c r="E59" s="6" t="s">
        <v>80</v>
      </c>
      <c r="F59" s="3"/>
      <c r="G59" s="5" t="s">
        <v>236</v>
      </c>
      <c r="H59" s="8">
        <v>1.5</v>
      </c>
      <c r="I59" s="3"/>
      <c r="J59" s="3"/>
      <c r="K59" s="3"/>
      <c r="L59" s="3">
        <v>2</v>
      </c>
      <c r="M59" s="5">
        <v>2</v>
      </c>
    </row>
    <row r="60" spans="1:13" ht="15.75" customHeight="1">
      <c r="A60" s="3" t="s">
        <v>13</v>
      </c>
      <c r="B60" s="3" t="s">
        <v>82</v>
      </c>
      <c r="C60" s="3" t="s">
        <v>79</v>
      </c>
      <c r="D60" s="3" t="s">
        <v>83</v>
      </c>
      <c r="E60" s="3" t="s">
        <v>84</v>
      </c>
      <c r="F60" s="3"/>
      <c r="G60" s="5" t="s">
        <v>236</v>
      </c>
      <c r="H60" s="8">
        <v>0.7</v>
      </c>
      <c r="I60" s="3"/>
      <c r="J60" s="3"/>
      <c r="K60" s="3"/>
      <c r="L60" s="3">
        <v>10</v>
      </c>
      <c r="M60" s="5">
        <v>10</v>
      </c>
    </row>
    <row r="61" spans="1:13" ht="15.75" customHeight="1">
      <c r="A61" s="3" t="s">
        <v>13</v>
      </c>
      <c r="B61" s="3" t="s">
        <v>82</v>
      </c>
      <c r="C61" s="3" t="s">
        <v>85</v>
      </c>
      <c r="D61" s="3" t="s">
        <v>56</v>
      </c>
      <c r="E61" s="6" t="s">
        <v>52</v>
      </c>
      <c r="F61" s="3"/>
      <c r="G61" s="5" t="s">
        <v>236</v>
      </c>
      <c r="H61" s="8">
        <v>1.7</v>
      </c>
      <c r="I61" s="3"/>
      <c r="J61" s="3"/>
      <c r="K61" s="3"/>
      <c r="L61" s="3">
        <v>14</v>
      </c>
      <c r="M61" s="5">
        <v>16</v>
      </c>
    </row>
    <row r="62" spans="1:13" ht="15.75" customHeight="1">
      <c r="A62" s="3" t="s">
        <v>13</v>
      </c>
      <c r="B62" s="3" t="s">
        <v>82</v>
      </c>
      <c r="C62" s="3" t="s">
        <v>85</v>
      </c>
      <c r="D62" s="3" t="s">
        <v>56</v>
      </c>
      <c r="E62" s="3"/>
      <c r="F62" s="3"/>
      <c r="G62" s="5" t="s">
        <v>236</v>
      </c>
      <c r="H62" s="4">
        <v>1.97</v>
      </c>
      <c r="I62" s="3"/>
      <c r="J62" s="3"/>
      <c r="K62" s="3"/>
      <c r="L62" s="3">
        <v>14</v>
      </c>
      <c r="M62" s="5">
        <v>16</v>
      </c>
    </row>
    <row r="63" spans="1:13" ht="15.75" customHeight="1">
      <c r="A63" s="3" t="s">
        <v>13</v>
      </c>
      <c r="B63" s="3" t="s">
        <v>82</v>
      </c>
      <c r="C63" s="3" t="s">
        <v>85</v>
      </c>
      <c r="D63" s="3" t="s">
        <v>56</v>
      </c>
      <c r="E63" s="3"/>
      <c r="F63" s="3"/>
      <c r="G63" s="5" t="s">
        <v>236</v>
      </c>
      <c r="H63" s="4">
        <v>1.97</v>
      </c>
      <c r="I63" s="3"/>
      <c r="J63" s="3"/>
      <c r="K63" s="3"/>
      <c r="L63" s="3">
        <v>14</v>
      </c>
      <c r="M63" s="5">
        <v>16</v>
      </c>
    </row>
    <row r="64" spans="1:13" ht="15.75" customHeight="1">
      <c r="A64" s="3" t="s">
        <v>13</v>
      </c>
      <c r="B64" s="3" t="s">
        <v>82</v>
      </c>
      <c r="C64" s="3" t="s">
        <v>85</v>
      </c>
      <c r="D64" s="3" t="s">
        <v>56</v>
      </c>
      <c r="E64" s="3"/>
      <c r="F64" s="3"/>
      <c r="G64" s="5" t="s">
        <v>236</v>
      </c>
      <c r="H64" s="4">
        <v>2.2200000000000002</v>
      </c>
      <c r="I64" s="3"/>
      <c r="J64" s="3"/>
      <c r="K64" s="3"/>
      <c r="L64" s="3">
        <v>14</v>
      </c>
      <c r="M64" s="5">
        <v>16</v>
      </c>
    </row>
    <row r="65" spans="1:13" ht="15.75" customHeight="1">
      <c r="A65" s="3" t="s">
        <v>13</v>
      </c>
      <c r="B65" s="3" t="s">
        <v>82</v>
      </c>
      <c r="C65" s="3" t="s">
        <v>85</v>
      </c>
      <c r="D65" s="3" t="s">
        <v>56</v>
      </c>
      <c r="E65" s="3"/>
      <c r="F65" s="3"/>
      <c r="G65" s="5" t="s">
        <v>236</v>
      </c>
      <c r="H65" s="4">
        <v>2.97</v>
      </c>
      <c r="I65" s="3"/>
      <c r="J65" s="3"/>
      <c r="K65" s="3"/>
      <c r="L65" s="3">
        <v>14</v>
      </c>
      <c r="M65" s="5">
        <v>16</v>
      </c>
    </row>
    <row r="66" spans="1:13" ht="15.75" customHeight="1">
      <c r="A66" s="3" t="s">
        <v>13</v>
      </c>
      <c r="B66" s="3" t="s">
        <v>82</v>
      </c>
      <c r="C66" s="3" t="s">
        <v>85</v>
      </c>
      <c r="D66" s="3" t="s">
        <v>56</v>
      </c>
      <c r="E66" s="3"/>
      <c r="F66" s="3"/>
      <c r="G66" s="5" t="s">
        <v>236</v>
      </c>
      <c r="H66" s="4">
        <v>2.72</v>
      </c>
      <c r="I66" s="3"/>
      <c r="J66" s="3"/>
      <c r="K66" s="3"/>
      <c r="L66" s="3">
        <v>14</v>
      </c>
      <c r="M66" s="5">
        <v>16</v>
      </c>
    </row>
    <row r="67" spans="1:13" ht="15.75" customHeight="1">
      <c r="A67" s="3" t="s">
        <v>13</v>
      </c>
      <c r="B67" s="3" t="s">
        <v>82</v>
      </c>
      <c r="C67" s="3" t="s">
        <v>85</v>
      </c>
      <c r="D67" s="3" t="s">
        <v>56</v>
      </c>
      <c r="E67" s="3"/>
      <c r="F67" s="3"/>
      <c r="G67" s="5" t="s">
        <v>236</v>
      </c>
      <c r="H67" s="4">
        <v>2.98</v>
      </c>
      <c r="I67" s="3"/>
      <c r="J67" s="3"/>
      <c r="K67" s="3"/>
      <c r="L67" s="3">
        <v>14</v>
      </c>
      <c r="M67" s="5">
        <v>16</v>
      </c>
    </row>
    <row r="68" spans="1:13" ht="15.75" customHeight="1">
      <c r="A68" s="3" t="s">
        <v>13</v>
      </c>
      <c r="B68" s="3" t="s">
        <v>82</v>
      </c>
      <c r="C68" s="3" t="s">
        <v>85</v>
      </c>
      <c r="D68" s="3" t="s">
        <v>56</v>
      </c>
      <c r="E68" s="3"/>
      <c r="F68" s="3"/>
      <c r="G68" s="5" t="s">
        <v>236</v>
      </c>
      <c r="H68" s="4">
        <v>2.5</v>
      </c>
      <c r="I68" s="3"/>
      <c r="J68" s="3"/>
      <c r="K68" s="3"/>
      <c r="L68" s="3">
        <v>14</v>
      </c>
      <c r="M68" s="5">
        <v>16</v>
      </c>
    </row>
    <row r="69" spans="1:13" ht="15.75" customHeight="1">
      <c r="A69" s="3" t="s">
        <v>13</v>
      </c>
      <c r="B69" s="3" t="s">
        <v>82</v>
      </c>
      <c r="C69" s="3" t="s">
        <v>85</v>
      </c>
      <c r="D69" s="3" t="s">
        <v>56</v>
      </c>
      <c r="E69" s="3"/>
      <c r="F69" s="3"/>
      <c r="G69" s="5" t="s">
        <v>236</v>
      </c>
      <c r="H69" s="4">
        <v>2.23</v>
      </c>
      <c r="I69" s="3"/>
      <c r="J69" s="3"/>
      <c r="K69" s="3"/>
      <c r="L69" s="3">
        <v>14</v>
      </c>
      <c r="M69" s="5">
        <v>16</v>
      </c>
    </row>
    <row r="70" spans="1:13" ht="15.75" customHeight="1">
      <c r="A70" s="3" t="s">
        <v>13</v>
      </c>
      <c r="B70" s="3" t="s">
        <v>82</v>
      </c>
      <c r="C70" s="3" t="s">
        <v>85</v>
      </c>
      <c r="D70" s="3" t="s">
        <v>56</v>
      </c>
      <c r="E70" s="3"/>
      <c r="F70" s="3"/>
      <c r="G70" s="5" t="s">
        <v>236</v>
      </c>
      <c r="H70" s="4">
        <v>2.5</v>
      </c>
      <c r="I70" s="3"/>
      <c r="J70" s="3"/>
      <c r="K70" s="3"/>
      <c r="L70" s="3">
        <v>14</v>
      </c>
      <c r="M70" s="5">
        <v>16</v>
      </c>
    </row>
    <row r="71" spans="1:13" ht="15.75" customHeight="1">
      <c r="A71" s="3" t="s">
        <v>13</v>
      </c>
      <c r="B71" s="3" t="s">
        <v>82</v>
      </c>
      <c r="C71" s="3" t="s">
        <v>85</v>
      </c>
      <c r="D71" s="3" t="s">
        <v>56</v>
      </c>
      <c r="E71" s="3"/>
      <c r="F71" s="3"/>
      <c r="G71" s="5" t="s">
        <v>236</v>
      </c>
      <c r="H71" s="4">
        <v>2.5</v>
      </c>
      <c r="I71" s="3"/>
      <c r="J71" s="3"/>
      <c r="K71" s="3"/>
      <c r="L71" s="3">
        <v>14</v>
      </c>
      <c r="M71" s="5">
        <v>16</v>
      </c>
    </row>
    <row r="72" spans="1:13" ht="15.75" customHeight="1">
      <c r="A72" s="3" t="s">
        <v>13</v>
      </c>
      <c r="B72" s="3" t="s">
        <v>82</v>
      </c>
      <c r="C72" s="3" t="s">
        <v>85</v>
      </c>
      <c r="D72" s="3" t="s">
        <v>56</v>
      </c>
      <c r="E72" s="3"/>
      <c r="F72" s="3"/>
      <c r="G72" s="5" t="s">
        <v>236</v>
      </c>
      <c r="H72" s="4">
        <v>2.5</v>
      </c>
      <c r="I72" s="3"/>
      <c r="J72" s="3"/>
      <c r="K72" s="3"/>
      <c r="L72" s="3">
        <v>14</v>
      </c>
      <c r="M72" s="5">
        <v>16</v>
      </c>
    </row>
    <row r="73" spans="1:13" ht="15.75" customHeight="1">
      <c r="A73" s="3" t="s">
        <v>13</v>
      </c>
      <c r="B73" s="3" t="s">
        <v>82</v>
      </c>
      <c r="C73" s="3" t="s">
        <v>85</v>
      </c>
      <c r="D73" s="3" t="s">
        <v>56</v>
      </c>
      <c r="E73" s="3"/>
      <c r="F73" s="3"/>
      <c r="G73" s="5" t="s">
        <v>236</v>
      </c>
      <c r="H73" s="4">
        <v>2.21</v>
      </c>
      <c r="I73" s="3"/>
      <c r="J73" s="3"/>
      <c r="K73" s="3"/>
      <c r="L73" s="3">
        <v>14</v>
      </c>
      <c r="M73" s="5">
        <v>16</v>
      </c>
    </row>
    <row r="74" spans="1:13" ht="15.75" customHeight="1">
      <c r="A74" s="3" t="s">
        <v>13</v>
      </c>
      <c r="B74" s="3" t="s">
        <v>82</v>
      </c>
      <c r="C74" s="3" t="s">
        <v>85</v>
      </c>
      <c r="D74" s="3" t="s">
        <v>56</v>
      </c>
      <c r="E74" s="3"/>
      <c r="F74" s="3"/>
      <c r="G74" s="5" t="s">
        <v>236</v>
      </c>
      <c r="H74" s="4">
        <v>2.21</v>
      </c>
      <c r="I74" s="3"/>
      <c r="J74" s="3"/>
      <c r="K74" s="3"/>
      <c r="L74" s="3">
        <v>14</v>
      </c>
      <c r="M74" s="5">
        <v>16</v>
      </c>
    </row>
    <row r="75" spans="1:13" ht="15.75" customHeight="1">
      <c r="A75" s="3" t="s">
        <v>13</v>
      </c>
      <c r="B75" s="3" t="s">
        <v>82</v>
      </c>
      <c r="C75" s="3" t="s">
        <v>85</v>
      </c>
      <c r="D75" s="3" t="s">
        <v>56</v>
      </c>
      <c r="E75" s="3"/>
      <c r="F75" s="3"/>
      <c r="G75" s="5" t="s">
        <v>236</v>
      </c>
      <c r="H75" s="4">
        <v>2.21</v>
      </c>
      <c r="I75" s="3"/>
      <c r="J75" s="3"/>
      <c r="K75" s="3"/>
      <c r="L75" s="3">
        <v>14</v>
      </c>
      <c r="M75" s="5">
        <v>16</v>
      </c>
    </row>
    <row r="76" spans="1:13" ht="15.75" customHeight="1">
      <c r="A76" s="3" t="s">
        <v>13</v>
      </c>
      <c r="B76" s="3" t="s">
        <v>82</v>
      </c>
      <c r="C76" s="3" t="s">
        <v>85</v>
      </c>
      <c r="D76" s="3" t="s">
        <v>56</v>
      </c>
      <c r="E76" s="3"/>
      <c r="F76" s="3"/>
      <c r="G76" s="5" t="s">
        <v>236</v>
      </c>
      <c r="H76" s="4">
        <v>2.21</v>
      </c>
      <c r="I76" s="3"/>
      <c r="J76" s="3"/>
      <c r="K76" s="3"/>
      <c r="L76" s="3">
        <v>14</v>
      </c>
      <c r="M76" s="5">
        <v>16</v>
      </c>
    </row>
    <row r="77" spans="1:13" ht="15.75" customHeight="1">
      <c r="A77" s="3" t="s">
        <v>13</v>
      </c>
      <c r="B77" s="3" t="s">
        <v>72</v>
      </c>
      <c r="C77" s="3" t="s">
        <v>73</v>
      </c>
      <c r="D77" s="3" t="s">
        <v>86</v>
      </c>
      <c r="E77" s="3" t="s">
        <v>78</v>
      </c>
      <c r="F77" s="3"/>
      <c r="G77" s="5" t="s">
        <v>236</v>
      </c>
      <c r="H77" s="4">
        <v>2.2799999999999998</v>
      </c>
      <c r="I77" s="3"/>
      <c r="J77" s="3"/>
      <c r="K77" s="3"/>
      <c r="L77" s="3">
        <v>10</v>
      </c>
      <c r="M77" s="5">
        <v>10</v>
      </c>
    </row>
    <row r="78" spans="1:13" ht="15.75" customHeight="1">
      <c r="A78" s="3" t="s">
        <v>13</v>
      </c>
      <c r="B78" s="3" t="s">
        <v>72</v>
      </c>
      <c r="C78" s="3" t="s">
        <v>73</v>
      </c>
      <c r="D78" s="3" t="s">
        <v>86</v>
      </c>
      <c r="E78" s="3" t="s">
        <v>78</v>
      </c>
      <c r="F78" s="3"/>
      <c r="G78" s="5" t="s">
        <v>236</v>
      </c>
      <c r="H78" s="4">
        <v>2.23</v>
      </c>
      <c r="I78" s="3"/>
      <c r="J78" s="3"/>
      <c r="K78" s="3"/>
      <c r="L78" s="3">
        <v>10</v>
      </c>
      <c r="M78" s="5">
        <v>10</v>
      </c>
    </row>
    <row r="79" spans="1:13" ht="15.75" customHeight="1">
      <c r="A79" s="3" t="s">
        <v>13</v>
      </c>
      <c r="B79" s="3" t="s">
        <v>72</v>
      </c>
      <c r="C79" s="3" t="s">
        <v>73</v>
      </c>
      <c r="D79" s="3" t="s">
        <v>86</v>
      </c>
      <c r="E79" s="3" t="s">
        <v>78</v>
      </c>
      <c r="F79" s="3"/>
      <c r="G79" s="5" t="s">
        <v>236</v>
      </c>
      <c r="H79" s="4">
        <v>2.81</v>
      </c>
      <c r="I79" s="3"/>
      <c r="J79" s="3"/>
      <c r="K79" s="3"/>
      <c r="L79" s="3">
        <v>10</v>
      </c>
      <c r="M79" s="5">
        <v>10</v>
      </c>
    </row>
    <row r="80" spans="1:13" ht="15.75" customHeight="1">
      <c r="A80" s="3" t="s">
        <v>13</v>
      </c>
      <c r="B80" s="3" t="s">
        <v>72</v>
      </c>
      <c r="C80" s="3" t="s">
        <v>73</v>
      </c>
      <c r="D80" s="3" t="s">
        <v>86</v>
      </c>
      <c r="E80" s="3" t="s">
        <v>78</v>
      </c>
      <c r="F80" s="3"/>
      <c r="G80" s="5" t="s">
        <v>236</v>
      </c>
      <c r="H80" s="4">
        <v>2.61</v>
      </c>
      <c r="I80" s="3"/>
      <c r="J80" s="3"/>
      <c r="K80" s="3"/>
      <c r="L80" s="3">
        <v>10</v>
      </c>
      <c r="M80" s="5">
        <v>10</v>
      </c>
    </row>
    <row r="81" spans="1:13" ht="15.75" customHeight="1">
      <c r="A81" s="3" t="s">
        <v>13</v>
      </c>
      <c r="B81" s="3" t="s">
        <v>72</v>
      </c>
      <c r="C81" s="3" t="s">
        <v>73</v>
      </c>
      <c r="D81" s="3" t="s">
        <v>86</v>
      </c>
      <c r="E81" s="3" t="s">
        <v>78</v>
      </c>
      <c r="F81" s="3"/>
      <c r="G81" s="5" t="s">
        <v>236</v>
      </c>
      <c r="H81" s="4">
        <v>2.7</v>
      </c>
      <c r="I81" s="3"/>
      <c r="J81" s="3"/>
      <c r="K81" s="3"/>
      <c r="L81" s="3">
        <v>10</v>
      </c>
      <c r="M81" s="5">
        <v>10</v>
      </c>
    </row>
    <row r="82" spans="1:13" ht="15.75" customHeight="1">
      <c r="A82" s="3" t="s">
        <v>13</v>
      </c>
      <c r="B82" s="3" t="s">
        <v>72</v>
      </c>
      <c r="C82" s="3" t="s">
        <v>73</v>
      </c>
      <c r="D82" s="3" t="s">
        <v>86</v>
      </c>
      <c r="E82" s="3" t="s">
        <v>78</v>
      </c>
      <c r="F82" s="3"/>
      <c r="G82" s="5" t="s">
        <v>236</v>
      </c>
      <c r="H82" s="4">
        <v>2.57</v>
      </c>
      <c r="I82" s="3"/>
      <c r="J82" s="3"/>
      <c r="K82" s="3"/>
      <c r="L82" s="3">
        <v>10</v>
      </c>
      <c r="M82" s="5">
        <v>10</v>
      </c>
    </row>
    <row r="83" spans="1:13" ht="15.75" customHeight="1">
      <c r="A83" s="3" t="s">
        <v>13</v>
      </c>
      <c r="B83" s="3" t="s">
        <v>72</v>
      </c>
      <c r="C83" s="3" t="s">
        <v>73</v>
      </c>
      <c r="D83" s="3" t="s">
        <v>86</v>
      </c>
      <c r="E83" s="3" t="s">
        <v>78</v>
      </c>
      <c r="F83" s="3"/>
      <c r="G83" s="5" t="s">
        <v>236</v>
      </c>
      <c r="H83" s="4">
        <v>2.87</v>
      </c>
      <c r="I83" s="3"/>
      <c r="J83" s="3"/>
      <c r="K83" s="3"/>
      <c r="L83" s="3">
        <v>10</v>
      </c>
      <c r="M83" s="5">
        <v>10</v>
      </c>
    </row>
    <row r="84" spans="1:13" ht="15.75" customHeight="1">
      <c r="A84" s="3" t="s">
        <v>13</v>
      </c>
      <c r="B84" s="3" t="s">
        <v>72</v>
      </c>
      <c r="C84" s="3" t="s">
        <v>73</v>
      </c>
      <c r="D84" s="3" t="s">
        <v>86</v>
      </c>
      <c r="E84" s="3" t="s">
        <v>78</v>
      </c>
      <c r="F84" s="3"/>
      <c r="G84" s="5" t="s">
        <v>236</v>
      </c>
      <c r="H84" s="4">
        <v>2.61</v>
      </c>
      <c r="I84" s="3"/>
      <c r="J84" s="3"/>
      <c r="K84" s="3"/>
      <c r="L84" s="3">
        <v>10</v>
      </c>
      <c r="M84" s="5">
        <v>10</v>
      </c>
    </row>
    <row r="85" spans="1:13" ht="15.75" customHeight="1">
      <c r="A85" s="3" t="s">
        <v>13</v>
      </c>
      <c r="B85" s="3" t="s">
        <v>72</v>
      </c>
      <c r="C85" s="3" t="s">
        <v>73</v>
      </c>
      <c r="D85" s="3" t="s">
        <v>86</v>
      </c>
      <c r="E85" s="3" t="s">
        <v>78</v>
      </c>
      <c r="F85" s="3"/>
      <c r="G85" s="5" t="s">
        <v>236</v>
      </c>
      <c r="H85" s="4">
        <v>2.42</v>
      </c>
      <c r="I85" s="3"/>
      <c r="J85" s="3"/>
      <c r="K85" s="3"/>
      <c r="L85" s="3">
        <v>10</v>
      </c>
      <c r="M85" s="5">
        <v>10</v>
      </c>
    </row>
    <row r="86" spans="1:13" ht="15.75" customHeight="1">
      <c r="A86" s="3" t="s">
        <v>13</v>
      </c>
      <c r="B86" s="3" t="s">
        <v>72</v>
      </c>
      <c r="C86" s="3" t="s">
        <v>73</v>
      </c>
      <c r="D86" s="3" t="s">
        <v>86</v>
      </c>
      <c r="E86" s="3" t="s">
        <v>78</v>
      </c>
      <c r="F86" s="4" t="s">
        <v>87</v>
      </c>
      <c r="G86" s="5" t="s">
        <v>236</v>
      </c>
      <c r="H86" s="4" t="s">
        <v>88</v>
      </c>
      <c r="I86" s="3"/>
      <c r="J86" s="3"/>
      <c r="K86" s="3"/>
      <c r="L86" s="3">
        <v>10</v>
      </c>
      <c r="M86" s="5">
        <v>10</v>
      </c>
    </row>
    <row r="87" spans="1:13" ht="15.75" customHeight="1">
      <c r="A87" s="3" t="s">
        <v>13</v>
      </c>
      <c r="B87" s="3" t="s">
        <v>72</v>
      </c>
      <c r="C87" s="3" t="s">
        <v>73</v>
      </c>
      <c r="D87" s="3" t="s">
        <v>89</v>
      </c>
      <c r="E87" s="3" t="s">
        <v>78</v>
      </c>
      <c r="F87" s="3"/>
      <c r="G87" s="5" t="s">
        <v>236</v>
      </c>
      <c r="H87" s="4">
        <v>2</v>
      </c>
      <c r="I87" s="3"/>
      <c r="J87" s="3"/>
      <c r="K87" s="3"/>
      <c r="L87" s="3">
        <v>1</v>
      </c>
      <c r="M87" s="5">
        <v>1</v>
      </c>
    </row>
    <row r="88" spans="1:13" ht="15.75" customHeight="1">
      <c r="A88" s="3" t="s">
        <v>13</v>
      </c>
      <c r="B88" s="3" t="s">
        <v>90</v>
      </c>
      <c r="C88" s="3" t="s">
        <v>91</v>
      </c>
      <c r="D88" s="3" t="s">
        <v>92</v>
      </c>
      <c r="E88" s="6" t="s">
        <v>52</v>
      </c>
      <c r="F88" s="3"/>
      <c r="G88" s="5" t="str">
        <f>UPPER(LEFT(A2,3)) &amp; "-" &amp; UPPER(LEFT(B2,3)) &amp; "-" &amp; TEXT(COUNTIF($A$2:A2,A2),"000")</f>
        <v>PEA-ALL-001</v>
      </c>
      <c r="H88" s="8">
        <v>1.79</v>
      </c>
      <c r="I88" s="3"/>
      <c r="J88" s="3"/>
      <c r="K88" s="3"/>
      <c r="L88" s="3">
        <v>3</v>
      </c>
      <c r="M88" s="5">
        <v>3</v>
      </c>
    </row>
    <row r="89" spans="1:13" ht="15.75" customHeight="1">
      <c r="A89" s="3" t="s">
        <v>13</v>
      </c>
      <c r="B89" s="3" t="s">
        <v>90</v>
      </c>
      <c r="C89" s="3" t="s">
        <v>91</v>
      </c>
      <c r="D89" s="3" t="s">
        <v>92</v>
      </c>
      <c r="E89" s="3"/>
      <c r="F89" s="3"/>
      <c r="H89" s="8">
        <v>1.97</v>
      </c>
      <c r="I89" s="3"/>
      <c r="J89" s="3"/>
      <c r="K89" s="3"/>
      <c r="L89" s="3">
        <v>3</v>
      </c>
      <c r="M89" s="5">
        <v>3</v>
      </c>
    </row>
    <row r="90" spans="1:13" ht="15.75" customHeight="1">
      <c r="A90" s="3" t="s">
        <v>13</v>
      </c>
      <c r="B90" s="3" t="s">
        <v>90</v>
      </c>
      <c r="C90" s="3" t="s">
        <v>91</v>
      </c>
      <c r="D90" s="3" t="s">
        <v>92</v>
      </c>
      <c r="E90" s="3"/>
      <c r="F90" s="3"/>
      <c r="H90" s="8">
        <v>1.96</v>
      </c>
      <c r="I90" s="3"/>
      <c r="J90" s="3"/>
      <c r="K90" s="3"/>
      <c r="L90" s="3">
        <v>3</v>
      </c>
      <c r="M90" s="5">
        <v>3</v>
      </c>
    </row>
    <row r="91" spans="1:13" ht="15.75" customHeight="1">
      <c r="A91" s="3" t="s">
        <v>13</v>
      </c>
      <c r="B91" s="3" t="s">
        <v>90</v>
      </c>
      <c r="C91" s="3" t="s">
        <v>91</v>
      </c>
      <c r="D91" s="3" t="s">
        <v>93</v>
      </c>
      <c r="E91" s="6" t="s">
        <v>52</v>
      </c>
      <c r="F91" s="3"/>
      <c r="G91" s="5" t="str">
        <f>UPPER(LEFT(A2,3)) &amp; "-" &amp; UPPER(LEFT(B2,3)) &amp; "-" &amp; TEXT(COUNTIF($A$2:A2,A2),"000")</f>
        <v>PEA-ALL-001</v>
      </c>
      <c r="H91" s="8">
        <v>1.54</v>
      </c>
      <c r="I91" s="3"/>
      <c r="J91" s="3"/>
      <c r="K91" s="3"/>
      <c r="L91" s="3">
        <v>1</v>
      </c>
      <c r="M91" s="5">
        <v>1</v>
      </c>
    </row>
    <row r="92" spans="1:13" ht="15.75" customHeight="1">
      <c r="A92" s="3" t="s">
        <v>13</v>
      </c>
      <c r="B92" s="3" t="s">
        <v>90</v>
      </c>
      <c r="C92" s="3" t="s">
        <v>91</v>
      </c>
      <c r="D92" s="3" t="s">
        <v>94</v>
      </c>
      <c r="E92" s="6" t="s">
        <v>52</v>
      </c>
      <c r="F92" s="3"/>
      <c r="G92" s="5" t="str">
        <f>UPPER(LEFT(A2,3)) &amp; "-" &amp; UPPER(LEFT(B2,3)) &amp; "-" &amp; TEXT(COUNTIF($A$2:A2,A2),"000")</f>
        <v>PEA-ALL-001</v>
      </c>
      <c r="H92" s="8">
        <v>2.16</v>
      </c>
      <c r="I92" s="3"/>
      <c r="J92" s="3"/>
      <c r="K92" s="3"/>
      <c r="L92" s="3">
        <v>1</v>
      </c>
      <c r="M92" s="5">
        <v>2</v>
      </c>
    </row>
    <row r="93" spans="1:13" ht="15.75" customHeight="1">
      <c r="A93" s="3" t="s">
        <v>13</v>
      </c>
      <c r="B93" s="3" t="s">
        <v>90</v>
      </c>
      <c r="C93" s="3" t="s">
        <v>91</v>
      </c>
      <c r="D93" s="3" t="s">
        <v>94</v>
      </c>
      <c r="E93" s="3"/>
      <c r="F93" s="4" t="s">
        <v>95</v>
      </c>
      <c r="I93" s="3"/>
      <c r="J93" s="3"/>
      <c r="K93" s="3"/>
      <c r="L93" s="4">
        <v>1</v>
      </c>
      <c r="M93" s="8">
        <v>2</v>
      </c>
    </row>
    <row r="94" spans="1:13" ht="15.75" customHeight="1">
      <c r="A94" s="3" t="s">
        <v>13</v>
      </c>
      <c r="B94" s="3" t="s">
        <v>90</v>
      </c>
      <c r="C94" s="3" t="s">
        <v>91</v>
      </c>
      <c r="D94" s="3" t="s">
        <v>96</v>
      </c>
      <c r="E94" s="6" t="s">
        <v>52</v>
      </c>
      <c r="F94" s="3"/>
      <c r="G94" s="5" t="str">
        <f>UPPER(LEFT(A2,3)) &amp; "-" &amp; UPPER(LEFT(B2,3)) &amp; "-" &amp; TEXT(COUNTIF($A$2:A2,A2),"000")</f>
        <v>PEA-ALL-001</v>
      </c>
      <c r="H94" s="8">
        <v>0.5</v>
      </c>
      <c r="I94" s="3"/>
      <c r="J94" s="3"/>
      <c r="K94" s="3"/>
      <c r="L94" s="3">
        <v>1</v>
      </c>
      <c r="M94" s="5">
        <v>1</v>
      </c>
    </row>
    <row r="95" spans="1:13" ht="15.75" customHeight="1">
      <c r="A95" s="3" t="s">
        <v>13</v>
      </c>
      <c r="B95" s="3" t="s">
        <v>90</v>
      </c>
      <c r="C95" s="3" t="s">
        <v>91</v>
      </c>
      <c r="D95" s="3" t="s">
        <v>97</v>
      </c>
      <c r="E95" s="6" t="s">
        <v>52</v>
      </c>
      <c r="F95" s="3"/>
      <c r="G95" s="5" t="str">
        <f>UPPER(LEFT(A2,3)) &amp; "-" &amp; UPPER(LEFT(B2,3)) &amp; "-" &amp; TEXT(COUNTIF($A$2:A2,A2),"000")</f>
        <v>PEA-ALL-001</v>
      </c>
      <c r="H95" s="8">
        <v>2.29</v>
      </c>
      <c r="I95" s="3"/>
      <c r="J95" s="3"/>
      <c r="K95" s="3"/>
      <c r="L95" s="3">
        <v>3</v>
      </c>
      <c r="M95" s="5">
        <v>3</v>
      </c>
    </row>
    <row r="96" spans="1:13" ht="15.75" customHeight="1">
      <c r="A96" s="3" t="s">
        <v>13</v>
      </c>
      <c r="B96" s="3" t="s">
        <v>90</v>
      </c>
      <c r="C96" s="3" t="s">
        <v>91</v>
      </c>
      <c r="D96" s="3" t="s">
        <v>97</v>
      </c>
      <c r="E96" s="3"/>
      <c r="F96" s="3"/>
      <c r="H96" s="8">
        <v>2.56</v>
      </c>
      <c r="I96" s="3"/>
      <c r="J96" s="3"/>
      <c r="K96" s="3"/>
      <c r="L96" s="3">
        <v>3</v>
      </c>
      <c r="M96" s="5">
        <v>3</v>
      </c>
    </row>
    <row r="97" spans="1:13" ht="15.75" customHeight="1">
      <c r="A97" s="3" t="s">
        <v>13</v>
      </c>
      <c r="B97" s="3" t="s">
        <v>90</v>
      </c>
      <c r="C97" s="3" t="s">
        <v>91</v>
      </c>
      <c r="D97" s="3" t="s">
        <v>97</v>
      </c>
      <c r="E97" s="3"/>
      <c r="F97" s="3"/>
      <c r="H97" s="8">
        <v>2.11</v>
      </c>
      <c r="I97" s="3"/>
      <c r="J97" s="3"/>
      <c r="K97" s="3"/>
      <c r="L97" s="3">
        <v>3</v>
      </c>
      <c r="M97" s="5">
        <v>3</v>
      </c>
    </row>
    <row r="98" spans="1:13" ht="15.75" customHeight="1">
      <c r="A98" s="3" t="s">
        <v>13</v>
      </c>
      <c r="B98" s="3" t="s">
        <v>90</v>
      </c>
      <c r="C98" s="3" t="s">
        <v>91</v>
      </c>
      <c r="D98" s="3" t="s">
        <v>98</v>
      </c>
      <c r="E98" s="6" t="s">
        <v>52</v>
      </c>
      <c r="F98" s="3"/>
      <c r="G98" s="5" t="str">
        <f>UPPER(LEFT(A2,3)) &amp; "-" &amp; UPPER(LEFT(B2,3)) &amp; "-" &amp; TEXT(COUNTIF($A$2:A2,A2),"000")</f>
        <v>PEA-ALL-001</v>
      </c>
      <c r="H98" s="8">
        <v>1.99</v>
      </c>
      <c r="I98" s="3"/>
      <c r="J98" s="3"/>
      <c r="K98" s="3"/>
      <c r="L98" s="3">
        <v>3</v>
      </c>
      <c r="M98" s="5">
        <v>3</v>
      </c>
    </row>
    <row r="99" spans="1:13" ht="15.75" customHeight="1">
      <c r="A99" s="3" t="s">
        <v>13</v>
      </c>
      <c r="B99" s="3" t="s">
        <v>90</v>
      </c>
      <c r="C99" s="3" t="s">
        <v>91</v>
      </c>
      <c r="D99" s="3" t="s">
        <v>98</v>
      </c>
      <c r="E99" s="3"/>
      <c r="F99" s="3"/>
      <c r="H99" s="8">
        <v>2.0499999999999998</v>
      </c>
      <c r="I99" s="3"/>
      <c r="J99" s="3"/>
      <c r="K99" s="3"/>
      <c r="L99" s="3">
        <v>3</v>
      </c>
      <c r="M99" s="5">
        <v>3</v>
      </c>
    </row>
    <row r="100" spans="1:13" ht="15.75" customHeight="1">
      <c r="A100" s="3" t="s">
        <v>13</v>
      </c>
      <c r="B100" s="3" t="s">
        <v>90</v>
      </c>
      <c r="C100" s="3" t="s">
        <v>91</v>
      </c>
      <c r="D100" s="3" t="s">
        <v>98</v>
      </c>
      <c r="E100" s="3"/>
      <c r="F100" s="3"/>
      <c r="H100" s="8">
        <v>1.83</v>
      </c>
      <c r="I100" s="3"/>
      <c r="J100" s="3"/>
      <c r="K100" s="3"/>
      <c r="L100" s="3">
        <v>3</v>
      </c>
      <c r="M100" s="5">
        <v>3</v>
      </c>
    </row>
    <row r="101" spans="1:13" ht="15.75" customHeight="1">
      <c r="A101" s="3" t="s">
        <v>13</v>
      </c>
      <c r="B101" s="3" t="s">
        <v>90</v>
      </c>
      <c r="C101" s="3" t="s">
        <v>91</v>
      </c>
      <c r="D101" s="3" t="s">
        <v>99</v>
      </c>
      <c r="E101" s="6" t="s">
        <v>52</v>
      </c>
      <c r="F101" s="3"/>
      <c r="G101" s="5" t="str">
        <f>UPPER(LEFT(A2,3)) &amp; "-" &amp; UPPER(LEFT(B2,3)) &amp; "-" &amp; TEXT(COUNTIF($A$2:A2,A2),"000")</f>
        <v>PEA-ALL-001</v>
      </c>
      <c r="H101" s="8">
        <v>1</v>
      </c>
      <c r="I101" s="3"/>
      <c r="J101" s="3"/>
      <c r="K101" s="3"/>
      <c r="L101" s="3">
        <v>1</v>
      </c>
      <c r="M101" s="5">
        <v>1</v>
      </c>
    </row>
    <row r="102" spans="1:13" ht="15.75" customHeight="1">
      <c r="A102" s="3" t="s">
        <v>13</v>
      </c>
      <c r="B102" s="3" t="s">
        <v>90</v>
      </c>
      <c r="C102" s="3" t="s">
        <v>91</v>
      </c>
      <c r="D102" s="3" t="s">
        <v>100</v>
      </c>
      <c r="E102" s="6" t="s">
        <v>52</v>
      </c>
      <c r="F102" s="3"/>
      <c r="G102" s="5" t="str">
        <f>UPPER(LEFT(A2,3)) &amp; "-" &amp; UPPER(LEFT(B2,3)) &amp; "-" &amp; TEXT(COUNTIF($A$2:A2,A2),"000")</f>
        <v>PEA-ALL-001</v>
      </c>
      <c r="H102" s="8">
        <v>2.2400000000000002</v>
      </c>
      <c r="I102" s="3"/>
      <c r="J102" s="3"/>
      <c r="K102" s="3"/>
      <c r="L102" s="3">
        <v>1</v>
      </c>
      <c r="M102" s="5">
        <v>2</v>
      </c>
    </row>
    <row r="103" spans="1:13" ht="15.75" customHeight="1">
      <c r="A103" s="3" t="s">
        <v>13</v>
      </c>
      <c r="B103" s="3" t="s">
        <v>50</v>
      </c>
      <c r="C103" s="3" t="s">
        <v>101</v>
      </c>
      <c r="D103" s="3" t="s">
        <v>56</v>
      </c>
      <c r="E103" s="3" t="s">
        <v>102</v>
      </c>
      <c r="F103" s="5" t="s">
        <v>103</v>
      </c>
      <c r="G103" s="5" t="str">
        <f>UPPER(LEFT(A2,3)) &amp; "-" &amp; UPPER(LEFT(B2,3)) &amp; "-" &amp; TEXT(COUNTIF($A$2:A2,A2),"000")</f>
        <v>PEA-ALL-001</v>
      </c>
      <c r="I103" s="3"/>
      <c r="J103" s="3"/>
      <c r="K103" s="3"/>
      <c r="L103" s="3"/>
      <c r="M103" s="5">
        <v>2</v>
      </c>
    </row>
    <row r="104" spans="1:13" ht="15.75" customHeight="1">
      <c r="A104" s="3" t="s">
        <v>13</v>
      </c>
      <c r="B104" s="3" t="s">
        <v>50</v>
      </c>
      <c r="C104" s="3" t="s">
        <v>101</v>
      </c>
      <c r="D104" s="3" t="s">
        <v>74</v>
      </c>
      <c r="F104" s="5" t="s">
        <v>103</v>
      </c>
      <c r="G104" s="5" t="str">
        <f>UPPER(LEFT(A2,3)) &amp; "-" &amp; UPPER(LEFT(B2,3)) &amp; "-" &amp; TEXT(COUNTIF($A$2:A2,A2),"000")</f>
        <v>PEA-ALL-001</v>
      </c>
      <c r="M104" s="5">
        <v>3</v>
      </c>
    </row>
    <row r="105" spans="1:13" ht="15.75" customHeight="1">
      <c r="A105" s="3" t="s">
        <v>13</v>
      </c>
      <c r="B105" s="3" t="s">
        <v>80</v>
      </c>
      <c r="C105" s="3" t="s">
        <v>101</v>
      </c>
      <c r="D105" s="3" t="s">
        <v>74</v>
      </c>
      <c r="E105" s="3" t="s">
        <v>80</v>
      </c>
      <c r="F105" s="5" t="s">
        <v>103</v>
      </c>
      <c r="G105" s="5" t="str">
        <f>UPPER(LEFT(A2,3)) &amp; "-" &amp; UPPER(LEFT(B2,3)) &amp; "-" &amp; TEXT(COUNTIF($A$2:A2,A2),"000")</f>
        <v>PEA-ALL-001</v>
      </c>
      <c r="M105" s="5">
        <v>1</v>
      </c>
    </row>
    <row r="106" spans="1:13" ht="15.75" customHeight="1">
      <c r="A106" s="3" t="s">
        <v>13</v>
      </c>
      <c r="B106" s="3" t="s">
        <v>104</v>
      </c>
      <c r="C106" s="3" t="s">
        <v>101</v>
      </c>
      <c r="D106" s="3" t="s">
        <v>74</v>
      </c>
      <c r="F106" s="5" t="s">
        <v>105</v>
      </c>
      <c r="G106" s="5" t="str">
        <f>UPPER(LEFT(A2,3)) &amp; "-" &amp; UPPER(LEFT(B2,3)) &amp; "-" &amp; TEXT(COUNTIF($A$2:A2,A2),"000")</f>
        <v>PEA-ALL-001</v>
      </c>
      <c r="M106" s="5">
        <v>4</v>
      </c>
    </row>
    <row r="107" spans="1:13" ht="15.75" customHeight="1">
      <c r="A107" s="3" t="s">
        <v>13</v>
      </c>
      <c r="B107" s="3" t="s">
        <v>80</v>
      </c>
      <c r="C107" s="3" t="s">
        <v>101</v>
      </c>
      <c r="D107" s="3" t="s">
        <v>106</v>
      </c>
      <c r="F107" s="5" t="s">
        <v>107</v>
      </c>
      <c r="G107" s="5" t="str">
        <f>UPPER(LEFT(A2,3)) &amp; "-" &amp; UPPER(LEFT(B2,3)) &amp; "-" &amp; TEXT(COUNTIF($A$2:A2,A2),"000")</f>
        <v>PEA-ALL-001</v>
      </c>
      <c r="M107" s="5">
        <v>2</v>
      </c>
    </row>
    <row r="108" spans="1:13" ht="15.75" customHeight="1">
      <c r="A108" s="3" t="s">
        <v>13</v>
      </c>
      <c r="B108" s="3" t="s">
        <v>50</v>
      </c>
      <c r="C108" s="3" t="s">
        <v>101</v>
      </c>
      <c r="D108" s="3" t="s">
        <v>106</v>
      </c>
      <c r="F108" s="5" t="s">
        <v>107</v>
      </c>
      <c r="G108" s="5" t="str">
        <f>UPPER(LEFT(A2,3)) &amp; "-" &amp; UPPER(LEFT(B2,3)) &amp; "-" &amp; TEXT(COUNTIF($A$2:A2,A2),"000")</f>
        <v>PEA-ALL-001</v>
      </c>
      <c r="M108" s="5">
        <v>3</v>
      </c>
    </row>
    <row r="109" spans="1:13" ht="15.75" customHeight="1">
      <c r="A109" s="3" t="s">
        <v>13</v>
      </c>
      <c r="B109" s="3" t="s">
        <v>104</v>
      </c>
      <c r="C109" s="3" t="s">
        <v>101</v>
      </c>
      <c r="D109" s="3" t="s">
        <v>106</v>
      </c>
      <c r="F109" s="5" t="s">
        <v>107</v>
      </c>
      <c r="G109" s="5" t="str">
        <f>UPPER(LEFT(A2,3)) &amp; "-" &amp; UPPER(LEFT(B2,3)) &amp; "-" &amp; TEXT(COUNTIF($A$2:A2,A2),"000")</f>
        <v>PEA-ALL-001</v>
      </c>
      <c r="M109" s="5">
        <v>3</v>
      </c>
    </row>
    <row r="110" spans="1:13" ht="15.75" customHeight="1">
      <c r="A110" s="3" t="s">
        <v>13</v>
      </c>
      <c r="B110" s="3" t="s">
        <v>50</v>
      </c>
      <c r="C110" s="3" t="s">
        <v>101</v>
      </c>
      <c r="D110" s="3" t="s">
        <v>66</v>
      </c>
      <c r="F110" s="5" t="s">
        <v>107</v>
      </c>
      <c r="G110" s="5" t="str">
        <f>UPPER(LEFT(A2,3)) &amp; "-" &amp; UPPER(LEFT(B2,3)) &amp; "-" &amp; TEXT(COUNTIF($A$2:A2,A2),"000")</f>
        <v>PEA-ALL-001</v>
      </c>
      <c r="M110" s="5">
        <v>2</v>
      </c>
    </row>
    <row r="111" spans="1:13" ht="15.75" customHeight="1">
      <c r="A111" s="3" t="s">
        <v>13</v>
      </c>
      <c r="B111" s="3" t="s">
        <v>80</v>
      </c>
      <c r="C111" s="3" t="s">
        <v>101</v>
      </c>
      <c r="D111" s="3" t="s">
        <v>66</v>
      </c>
      <c r="F111" s="5" t="s">
        <v>107</v>
      </c>
      <c r="G111" s="5" t="str">
        <f>UPPER(LEFT(A2,3)) &amp; "-" &amp; UPPER(LEFT(B2,3)) &amp; "-" &amp; TEXT(COUNTIF($A$2:A2,A2),"000")</f>
        <v>PEA-ALL-001</v>
      </c>
      <c r="M111" s="5">
        <v>1</v>
      </c>
    </row>
    <row r="112" spans="1:13" ht="15.75" customHeight="1">
      <c r="A112" s="3" t="s">
        <v>13</v>
      </c>
      <c r="B112" s="3" t="s">
        <v>104</v>
      </c>
      <c r="C112" s="3" t="s">
        <v>101</v>
      </c>
      <c r="D112" s="3" t="s">
        <v>66</v>
      </c>
      <c r="F112" s="5" t="s">
        <v>107</v>
      </c>
      <c r="G112" s="5" t="str">
        <f>UPPER(LEFT(A2,3)) &amp; "-" &amp; UPPER(LEFT(B2,3)) &amp; "-" &amp; TEXT(COUNTIF($A$2:A2,A2),"000")</f>
        <v>PEA-ALL-001</v>
      </c>
      <c r="M112" s="5">
        <v>2</v>
      </c>
    </row>
    <row r="113" spans="1:13" ht="15.75" customHeight="1">
      <c r="A113" s="3" t="s">
        <v>13</v>
      </c>
      <c r="B113" s="3" t="s">
        <v>50</v>
      </c>
      <c r="C113" s="3" t="s">
        <v>101</v>
      </c>
      <c r="D113" s="3" t="s">
        <v>108</v>
      </c>
      <c r="F113" s="5" t="s">
        <v>107</v>
      </c>
      <c r="G113" s="5" t="str">
        <f>UPPER(LEFT(A2,3)) &amp; "-" &amp; UPPER(LEFT(B2,3)) &amp; "-" &amp; TEXT(COUNTIF($A$2:A2,A2),"000")</f>
        <v>PEA-ALL-001</v>
      </c>
      <c r="M113" s="5">
        <v>2</v>
      </c>
    </row>
    <row r="114" spans="1:13" ht="15.75" customHeight="1">
      <c r="A114" s="3" t="s">
        <v>13</v>
      </c>
      <c r="B114" s="3" t="s">
        <v>80</v>
      </c>
      <c r="C114" s="3" t="s">
        <v>101</v>
      </c>
      <c r="D114" s="3" t="s">
        <v>108</v>
      </c>
      <c r="F114" s="5" t="s">
        <v>107</v>
      </c>
      <c r="G114" s="5" t="str">
        <f>UPPER(LEFT(A2,3)) &amp; "-" &amp; UPPER(LEFT(B2,3)) &amp; "-" &amp; TEXT(COUNTIF($A$2:A2,A2),"000")</f>
        <v>PEA-ALL-001</v>
      </c>
      <c r="M114" s="5">
        <v>1</v>
      </c>
    </row>
    <row r="115" spans="1:13" ht="15.75" customHeight="1">
      <c r="A115" s="3" t="s">
        <v>13</v>
      </c>
      <c r="B115" s="3" t="s">
        <v>104</v>
      </c>
      <c r="C115" s="3" t="s">
        <v>101</v>
      </c>
      <c r="D115" s="3" t="s">
        <v>108</v>
      </c>
      <c r="F115" s="5" t="s">
        <v>107</v>
      </c>
      <c r="G115" s="5" t="str">
        <f>UPPER(LEFT(A2,3)) &amp; "-" &amp; UPPER(LEFT(B2,3)) &amp; "-" &amp; TEXT(COUNTIF($A$2:A2,A2),"000")</f>
        <v>PEA-ALL-001</v>
      </c>
      <c r="M115" s="5">
        <v>4</v>
      </c>
    </row>
    <row r="116" spans="1:13" ht="15.75" customHeight="1">
      <c r="A116" s="3" t="s">
        <v>13</v>
      </c>
      <c r="B116" s="3" t="s">
        <v>109</v>
      </c>
      <c r="D116" s="3" t="s">
        <v>110</v>
      </c>
      <c r="G116" s="5" t="str">
        <f>UPPER(LEFT(A2,3)) &amp; "-" &amp; UPPER(LEFT(B2,3)) &amp; "-" &amp; TEXT(COUNTIF($A$2:A2,A2),"000")</f>
        <v>PEA-ALL-001</v>
      </c>
      <c r="M116" s="5">
        <v>1</v>
      </c>
    </row>
    <row r="117" spans="1:13" ht="15.75" customHeight="1">
      <c r="A117" s="3" t="s">
        <v>13</v>
      </c>
      <c r="B117" s="3" t="s">
        <v>72</v>
      </c>
      <c r="C117" s="3" t="s">
        <v>73</v>
      </c>
      <c r="D117" s="3" t="s">
        <v>106</v>
      </c>
      <c r="F117" s="9" t="s">
        <v>111</v>
      </c>
      <c r="G117" s="5" t="s">
        <v>236</v>
      </c>
      <c r="M117" s="5">
        <v>1</v>
      </c>
    </row>
    <row r="118" spans="1:13" ht="15.75" customHeight="1">
      <c r="A118" s="3" t="s">
        <v>13</v>
      </c>
      <c r="B118" s="3" t="s">
        <v>112</v>
      </c>
      <c r="D118" s="3" t="s">
        <v>106</v>
      </c>
      <c r="G118" s="5" t="str">
        <f>UPPER(LEFT(A2,3)) &amp; "-" &amp; UPPER(LEFT(B2,3)) &amp; "-" &amp; TEXT(COUNTIF($A$2:A2,A2),"000")</f>
        <v>PEA-ALL-001</v>
      </c>
      <c r="M118" s="5">
        <v>1</v>
      </c>
    </row>
    <row r="119" spans="1:13" ht="15.75" customHeight="1">
      <c r="A119" s="3" t="s">
        <v>13</v>
      </c>
      <c r="B119" s="3" t="s">
        <v>112</v>
      </c>
      <c r="D119" s="3" t="s">
        <v>70</v>
      </c>
      <c r="G119" s="5" t="str">
        <f>UPPER(LEFT(A2,3)) &amp; "-" &amp; UPPER(LEFT(B2,3)) &amp; "-" &amp; TEXT(COUNTIF($A$2:A2,A2),"000")</f>
        <v>PEA-ALL-001</v>
      </c>
      <c r="M119" s="5">
        <v>1</v>
      </c>
    </row>
    <row r="120" spans="1:13" ht="15.75" customHeight="1">
      <c r="A120" s="3" t="s">
        <v>13</v>
      </c>
      <c r="B120" s="3" t="s">
        <v>90</v>
      </c>
      <c r="C120" s="3" t="s">
        <v>91</v>
      </c>
      <c r="D120" s="3" t="s">
        <v>100</v>
      </c>
      <c r="H120" s="8">
        <v>2.08</v>
      </c>
      <c r="L120" s="3">
        <v>1</v>
      </c>
      <c r="M120" s="5">
        <v>2</v>
      </c>
    </row>
    <row r="121" spans="1:13" ht="15.75" customHeight="1">
      <c r="A121" s="3" t="s">
        <v>13</v>
      </c>
      <c r="B121" s="3" t="s">
        <v>90</v>
      </c>
      <c r="C121" s="5" t="s">
        <v>113</v>
      </c>
      <c r="D121" s="3" t="s">
        <v>114</v>
      </c>
      <c r="G121" s="5" t="str">
        <f>UPPER(LEFT(A2,3)) &amp; "-" &amp; UPPER(LEFT(B2,3)) &amp; "-" &amp; TEXT(COUNTIF($A$2:A2,A2),"000")</f>
        <v>PEA-ALL-001</v>
      </c>
      <c r="H121" s="5">
        <v>2.06</v>
      </c>
      <c r="M121" s="5">
        <v>10</v>
      </c>
    </row>
    <row r="122" spans="1:13" ht="15.75" customHeight="1">
      <c r="A122" s="3" t="s">
        <v>13</v>
      </c>
      <c r="B122" s="3" t="s">
        <v>90</v>
      </c>
      <c r="C122" s="5" t="s">
        <v>113</v>
      </c>
      <c r="D122" s="3" t="s">
        <v>114</v>
      </c>
      <c r="H122" s="5">
        <v>2.15</v>
      </c>
      <c r="M122" s="5">
        <v>10</v>
      </c>
    </row>
    <row r="123" spans="1:13" ht="15.75" customHeight="1">
      <c r="A123" s="3" t="s">
        <v>13</v>
      </c>
      <c r="B123" s="3" t="s">
        <v>90</v>
      </c>
      <c r="C123" s="5" t="s">
        <v>113</v>
      </c>
      <c r="D123" s="3" t="s">
        <v>114</v>
      </c>
      <c r="H123" s="5">
        <v>1.92</v>
      </c>
      <c r="M123" s="5">
        <v>10</v>
      </c>
    </row>
    <row r="124" spans="1:13" ht="15.75" customHeight="1">
      <c r="A124" s="3" t="s">
        <v>13</v>
      </c>
      <c r="B124" s="3" t="s">
        <v>90</v>
      </c>
      <c r="C124" s="5" t="s">
        <v>113</v>
      </c>
      <c r="D124" s="3" t="s">
        <v>114</v>
      </c>
      <c r="H124" s="5">
        <v>2.17</v>
      </c>
      <c r="M124" s="5">
        <v>10</v>
      </c>
    </row>
    <row r="125" spans="1:13" ht="15.75" customHeight="1">
      <c r="A125" s="3" t="s">
        <v>13</v>
      </c>
      <c r="B125" s="3" t="s">
        <v>90</v>
      </c>
      <c r="C125" s="5" t="s">
        <v>113</v>
      </c>
      <c r="D125" s="3" t="s">
        <v>114</v>
      </c>
      <c r="H125" s="5">
        <v>2.06</v>
      </c>
      <c r="M125" s="5">
        <v>10</v>
      </c>
    </row>
    <row r="126" spans="1:13" ht="15.75" customHeight="1">
      <c r="A126" s="3" t="s">
        <v>13</v>
      </c>
      <c r="B126" s="3" t="s">
        <v>90</v>
      </c>
      <c r="C126" s="5" t="s">
        <v>113</v>
      </c>
      <c r="D126" s="3" t="s">
        <v>114</v>
      </c>
      <c r="H126" s="5">
        <v>1.81</v>
      </c>
      <c r="M126" s="5">
        <v>10</v>
      </c>
    </row>
    <row r="127" spans="1:13" ht="15.75" customHeight="1">
      <c r="A127" s="3" t="s">
        <v>13</v>
      </c>
      <c r="B127" s="3" t="s">
        <v>90</v>
      </c>
      <c r="C127" s="5" t="s">
        <v>113</v>
      </c>
      <c r="D127" s="3" t="s">
        <v>114</v>
      </c>
      <c r="H127" s="5">
        <v>2.0699999999999998</v>
      </c>
      <c r="M127" s="5">
        <v>10</v>
      </c>
    </row>
    <row r="128" spans="1:13" ht="15.75" customHeight="1">
      <c r="A128" s="3" t="s">
        <v>13</v>
      </c>
      <c r="B128" s="3" t="s">
        <v>90</v>
      </c>
      <c r="C128" s="5" t="s">
        <v>113</v>
      </c>
      <c r="D128" s="3" t="s">
        <v>114</v>
      </c>
      <c r="H128" s="5">
        <v>2.3199999999999998</v>
      </c>
      <c r="M128" s="5">
        <v>10</v>
      </c>
    </row>
    <row r="129" spans="1:13" ht="15.75" customHeight="1">
      <c r="A129" s="3" t="s">
        <v>13</v>
      </c>
      <c r="B129" s="3" t="s">
        <v>90</v>
      </c>
      <c r="C129" s="5" t="s">
        <v>113</v>
      </c>
      <c r="D129" s="3" t="s">
        <v>114</v>
      </c>
      <c r="H129" s="5">
        <v>2.12</v>
      </c>
      <c r="M129" s="5">
        <v>10</v>
      </c>
    </row>
    <row r="130" spans="1:13" ht="15.75" customHeight="1">
      <c r="A130" s="3" t="s">
        <v>13</v>
      </c>
      <c r="B130" s="3" t="s">
        <v>90</v>
      </c>
      <c r="C130" s="5" t="s">
        <v>113</v>
      </c>
      <c r="D130" s="3" t="s">
        <v>114</v>
      </c>
      <c r="H130" s="5">
        <v>2.25</v>
      </c>
      <c r="M130" s="5">
        <v>10</v>
      </c>
    </row>
    <row r="131" spans="1:13" ht="15.75" customHeight="1">
      <c r="A131" s="3" t="s">
        <v>13</v>
      </c>
      <c r="B131" s="3" t="s">
        <v>90</v>
      </c>
      <c r="C131" s="5" t="s">
        <v>113</v>
      </c>
      <c r="D131" s="3" t="s">
        <v>110</v>
      </c>
      <c r="G131" s="5" t="str">
        <f>UPPER(LEFT(A2,3)) &amp; "-" &amp; UPPER(LEFT(B2,3)) &amp; "-" &amp; TEXT(COUNTIF($A$2:A2,A2),"000")</f>
        <v>PEA-ALL-001</v>
      </c>
      <c r="H131" s="5">
        <v>2.2000000000000002</v>
      </c>
      <c r="M131" s="5">
        <v>8</v>
      </c>
    </row>
    <row r="132" spans="1:13" ht="15.75" customHeight="1">
      <c r="A132" s="3" t="s">
        <v>13</v>
      </c>
      <c r="B132" s="3" t="s">
        <v>90</v>
      </c>
      <c r="C132" s="5" t="s">
        <v>113</v>
      </c>
      <c r="D132" s="3" t="s">
        <v>110</v>
      </c>
      <c r="H132" s="5">
        <v>2.12</v>
      </c>
      <c r="M132" s="5">
        <v>8</v>
      </c>
    </row>
    <row r="133" spans="1:13" ht="15.75" customHeight="1">
      <c r="A133" s="3" t="s">
        <v>13</v>
      </c>
      <c r="B133" s="3" t="s">
        <v>90</v>
      </c>
      <c r="C133" s="5" t="s">
        <v>113</v>
      </c>
      <c r="D133" s="3" t="s">
        <v>110</v>
      </c>
      <c r="H133" s="5">
        <v>2.02</v>
      </c>
      <c r="M133" s="5">
        <v>8</v>
      </c>
    </row>
    <row r="134" spans="1:13" ht="15.75" customHeight="1">
      <c r="A134" s="3" t="s">
        <v>13</v>
      </c>
      <c r="B134" s="3" t="s">
        <v>90</v>
      </c>
      <c r="C134" s="5" t="s">
        <v>113</v>
      </c>
      <c r="D134" s="3" t="s">
        <v>110</v>
      </c>
      <c r="H134" s="5">
        <v>2.25</v>
      </c>
      <c r="M134" s="5">
        <v>8</v>
      </c>
    </row>
    <row r="135" spans="1:13" ht="15.75" customHeight="1">
      <c r="A135" s="3" t="s">
        <v>13</v>
      </c>
      <c r="B135" s="3" t="s">
        <v>90</v>
      </c>
      <c r="C135" s="5" t="s">
        <v>113</v>
      </c>
      <c r="D135" s="3" t="s">
        <v>110</v>
      </c>
      <c r="H135" s="5">
        <v>2.0299999999999998</v>
      </c>
      <c r="M135" s="5">
        <v>8</v>
      </c>
    </row>
    <row r="136" spans="1:13" ht="15.75" customHeight="1">
      <c r="A136" s="3" t="s">
        <v>13</v>
      </c>
      <c r="B136" s="3" t="s">
        <v>90</v>
      </c>
      <c r="C136" s="5" t="s">
        <v>113</v>
      </c>
      <c r="D136" s="3" t="s">
        <v>110</v>
      </c>
      <c r="H136" s="5">
        <v>1.95</v>
      </c>
      <c r="M136" s="5">
        <v>8</v>
      </c>
    </row>
    <row r="137" spans="1:13" ht="15.75" customHeight="1">
      <c r="A137" s="3" t="s">
        <v>13</v>
      </c>
      <c r="B137" s="3" t="s">
        <v>90</v>
      </c>
      <c r="C137" s="5" t="s">
        <v>113</v>
      </c>
      <c r="D137" s="3" t="s">
        <v>110</v>
      </c>
      <c r="H137" s="5">
        <v>1.93</v>
      </c>
      <c r="M137" s="5">
        <v>8</v>
      </c>
    </row>
    <row r="138" spans="1:13" ht="15.75" customHeight="1">
      <c r="A138" s="3" t="s">
        <v>13</v>
      </c>
      <c r="B138" s="3" t="s">
        <v>90</v>
      </c>
      <c r="C138" s="5" t="s">
        <v>113</v>
      </c>
      <c r="D138" s="3" t="s">
        <v>110</v>
      </c>
      <c r="H138" s="10">
        <v>2.13</v>
      </c>
      <c r="M138" s="5">
        <v>8</v>
      </c>
    </row>
    <row r="139" spans="1:13" ht="15.75" customHeight="1">
      <c r="A139" s="3" t="s">
        <v>13</v>
      </c>
      <c r="B139" s="3" t="s">
        <v>90</v>
      </c>
      <c r="C139" s="5" t="s">
        <v>115</v>
      </c>
      <c r="D139" s="3" t="s">
        <v>116</v>
      </c>
      <c r="G139" s="5" t="str">
        <f>UPPER(LEFT(A2,3)) &amp; "-" &amp; UPPER(LEFT(B2,3)) &amp; "-" &amp; TEXT(COUNTIF($A$2:A2,A2),"000")</f>
        <v>PEA-ALL-001</v>
      </c>
      <c r="H139" s="10">
        <v>2.37</v>
      </c>
      <c r="M139" s="5">
        <v>17</v>
      </c>
    </row>
    <row r="140" spans="1:13" ht="15.75" customHeight="1">
      <c r="A140" s="3" t="s">
        <v>13</v>
      </c>
      <c r="B140" s="3" t="s">
        <v>90</v>
      </c>
      <c r="C140" s="5" t="s">
        <v>115</v>
      </c>
      <c r="D140" s="3" t="s">
        <v>116</v>
      </c>
      <c r="H140" s="10">
        <v>2.11</v>
      </c>
      <c r="M140" s="5">
        <v>17</v>
      </c>
    </row>
    <row r="141" spans="1:13" ht="15.75" customHeight="1">
      <c r="A141" s="3" t="s">
        <v>13</v>
      </c>
      <c r="B141" s="3" t="s">
        <v>90</v>
      </c>
      <c r="C141" s="5" t="s">
        <v>115</v>
      </c>
      <c r="D141" s="3" t="s">
        <v>116</v>
      </c>
      <c r="H141" s="10">
        <v>1.76</v>
      </c>
      <c r="M141" s="5">
        <v>17</v>
      </c>
    </row>
    <row r="142" spans="1:13" ht="15.75" customHeight="1">
      <c r="A142" s="3" t="s">
        <v>13</v>
      </c>
      <c r="B142" s="3" t="s">
        <v>90</v>
      </c>
      <c r="C142" s="5" t="s">
        <v>115</v>
      </c>
      <c r="D142" s="3" t="s">
        <v>116</v>
      </c>
      <c r="H142" s="10">
        <v>1.89</v>
      </c>
      <c r="M142" s="5">
        <v>17</v>
      </c>
    </row>
    <row r="143" spans="1:13" ht="15.75" customHeight="1">
      <c r="A143" s="3" t="s">
        <v>13</v>
      </c>
      <c r="B143" s="3" t="s">
        <v>90</v>
      </c>
      <c r="C143" s="5" t="s">
        <v>115</v>
      </c>
      <c r="D143" s="3" t="s">
        <v>116</v>
      </c>
      <c r="H143" s="10">
        <v>1.68</v>
      </c>
      <c r="M143" s="5">
        <v>17</v>
      </c>
    </row>
    <row r="144" spans="1:13" ht="15.75" customHeight="1">
      <c r="A144" s="3" t="s">
        <v>13</v>
      </c>
      <c r="B144" s="3" t="s">
        <v>90</v>
      </c>
      <c r="C144" s="5" t="s">
        <v>115</v>
      </c>
      <c r="D144" s="3" t="s">
        <v>116</v>
      </c>
      <c r="H144" s="10">
        <v>2.16</v>
      </c>
      <c r="M144" s="5">
        <v>17</v>
      </c>
    </row>
    <row r="145" spans="1:13" ht="15.75" customHeight="1">
      <c r="A145" s="3" t="s">
        <v>13</v>
      </c>
      <c r="B145" s="3" t="s">
        <v>90</v>
      </c>
      <c r="C145" s="5" t="s">
        <v>115</v>
      </c>
      <c r="D145" s="3" t="s">
        <v>116</v>
      </c>
      <c r="H145" s="10">
        <v>2.08</v>
      </c>
      <c r="M145" s="5">
        <v>17</v>
      </c>
    </row>
    <row r="146" spans="1:13" ht="15.75" customHeight="1">
      <c r="A146" s="3" t="s">
        <v>13</v>
      </c>
      <c r="B146" s="3" t="s">
        <v>90</v>
      </c>
      <c r="C146" s="5" t="s">
        <v>115</v>
      </c>
      <c r="D146" s="3" t="s">
        <v>116</v>
      </c>
      <c r="H146" s="10">
        <v>2.14</v>
      </c>
      <c r="M146" s="5">
        <v>17</v>
      </c>
    </row>
    <row r="147" spans="1:13" ht="15.75" customHeight="1">
      <c r="A147" s="3" t="s">
        <v>13</v>
      </c>
      <c r="B147" s="3" t="s">
        <v>90</v>
      </c>
      <c r="C147" s="5" t="s">
        <v>115</v>
      </c>
      <c r="D147" s="3" t="s">
        <v>116</v>
      </c>
      <c r="H147" s="10">
        <v>1.65</v>
      </c>
      <c r="M147" s="5">
        <v>17</v>
      </c>
    </row>
    <row r="148" spans="1:13" ht="15.75" customHeight="1">
      <c r="A148" s="3" t="s">
        <v>13</v>
      </c>
      <c r="B148" s="3" t="s">
        <v>90</v>
      </c>
      <c r="C148" s="5" t="s">
        <v>115</v>
      </c>
      <c r="D148" s="3" t="s">
        <v>116</v>
      </c>
      <c r="F148" s="8"/>
      <c r="H148" s="8">
        <v>2.1</v>
      </c>
      <c r="M148" s="5">
        <v>17</v>
      </c>
    </row>
    <row r="149" spans="1:13" ht="15.75" customHeight="1">
      <c r="A149" s="3" t="s">
        <v>13</v>
      </c>
      <c r="B149" s="3" t="s">
        <v>90</v>
      </c>
      <c r="C149" s="5" t="s">
        <v>115</v>
      </c>
      <c r="D149" s="3" t="s">
        <v>116</v>
      </c>
      <c r="F149" s="8"/>
      <c r="H149" s="7">
        <v>1.81</v>
      </c>
      <c r="M149" s="5">
        <v>17</v>
      </c>
    </row>
    <row r="150" spans="1:13" ht="15.75" customHeight="1">
      <c r="A150" s="3" t="s">
        <v>13</v>
      </c>
      <c r="B150" s="3" t="s">
        <v>90</v>
      </c>
      <c r="C150" s="5" t="s">
        <v>115</v>
      </c>
      <c r="D150" s="3" t="s">
        <v>116</v>
      </c>
      <c r="F150" s="8"/>
      <c r="H150" s="7">
        <v>1.92</v>
      </c>
      <c r="M150" s="5">
        <v>17</v>
      </c>
    </row>
    <row r="151" spans="1:13" ht="15.75" customHeight="1">
      <c r="A151" s="3" t="s">
        <v>13</v>
      </c>
      <c r="B151" s="3" t="s">
        <v>90</v>
      </c>
      <c r="C151" s="5" t="s">
        <v>115</v>
      </c>
      <c r="D151" s="3" t="s">
        <v>116</v>
      </c>
      <c r="F151" s="8"/>
      <c r="H151" s="7">
        <v>1.96</v>
      </c>
      <c r="M151" s="5">
        <v>17</v>
      </c>
    </row>
    <row r="152" spans="1:13" ht="15.75" customHeight="1">
      <c r="A152" s="3" t="s">
        <v>13</v>
      </c>
      <c r="B152" s="3" t="s">
        <v>90</v>
      </c>
      <c r="C152" s="5" t="s">
        <v>115</v>
      </c>
      <c r="D152" s="3" t="s">
        <v>116</v>
      </c>
      <c r="F152" s="8" t="s">
        <v>117</v>
      </c>
      <c r="H152" s="7"/>
      <c r="M152" s="5">
        <v>17</v>
      </c>
    </row>
    <row r="153" spans="1:13" ht="15.75" customHeight="1">
      <c r="A153" s="3" t="s">
        <v>13</v>
      </c>
      <c r="B153" s="3" t="s">
        <v>90</v>
      </c>
      <c r="C153" s="5" t="s">
        <v>115</v>
      </c>
      <c r="D153" s="3" t="s">
        <v>116</v>
      </c>
      <c r="F153" s="8" t="s">
        <v>117</v>
      </c>
      <c r="M153" s="5">
        <v>17</v>
      </c>
    </row>
    <row r="154" spans="1:13" ht="15.75" customHeight="1">
      <c r="A154" s="3" t="s">
        <v>13</v>
      </c>
      <c r="B154" s="3" t="s">
        <v>90</v>
      </c>
      <c r="C154" s="5" t="s">
        <v>115</v>
      </c>
      <c r="D154" s="3" t="s">
        <v>116</v>
      </c>
      <c r="F154" s="8" t="s">
        <v>117</v>
      </c>
      <c r="M154" s="5">
        <v>17</v>
      </c>
    </row>
    <row r="155" spans="1:13" ht="15.75" customHeight="1">
      <c r="A155" s="3" t="s">
        <v>13</v>
      </c>
      <c r="B155" s="3" t="s">
        <v>90</v>
      </c>
      <c r="C155" s="5" t="s">
        <v>115</v>
      </c>
      <c r="D155" s="3" t="s">
        <v>116</v>
      </c>
      <c r="F155" s="8" t="s">
        <v>117</v>
      </c>
      <c r="M155" s="5">
        <v>17</v>
      </c>
    </row>
    <row r="156" spans="1:13" ht="15.75" customHeight="1">
      <c r="A156" s="3" t="s">
        <v>13</v>
      </c>
      <c r="B156" s="3" t="s">
        <v>90</v>
      </c>
      <c r="C156" s="5" t="s">
        <v>115</v>
      </c>
      <c r="D156" s="3" t="s">
        <v>118</v>
      </c>
      <c r="G156" s="5" t="str">
        <f>UPPER(LEFT(A2,3)) &amp; "-" &amp; UPPER(LEFT(B2,3)) &amp; "-" &amp; TEXT(COUNTIF($A$2:A2,A2),"000")</f>
        <v>PEA-ALL-001</v>
      </c>
      <c r="H156" s="8">
        <v>1.92</v>
      </c>
      <c r="M156" s="5">
        <v>1</v>
      </c>
    </row>
    <row r="157" spans="1:13" ht="15.75" customHeight="1">
      <c r="A157" s="3" t="s">
        <v>13</v>
      </c>
      <c r="B157" s="3" t="s">
        <v>90</v>
      </c>
      <c r="C157" s="5" t="s">
        <v>115</v>
      </c>
      <c r="D157" s="3" t="s">
        <v>71</v>
      </c>
      <c r="G157" s="5" t="str">
        <f>UPPER(LEFT(A2,3)) &amp; "-" &amp; UPPER(LEFT(B2,3)) &amp; "-" &amp; TEXT(COUNTIF($A$2:A2,A2),"000")</f>
        <v>PEA-ALL-001</v>
      </c>
      <c r="H157" s="10">
        <v>1.81</v>
      </c>
      <c r="M157" s="5">
        <v>2</v>
      </c>
    </row>
    <row r="158" spans="1:13" ht="15.75" customHeight="1">
      <c r="A158" s="3" t="s">
        <v>13</v>
      </c>
      <c r="B158" s="3" t="s">
        <v>90</v>
      </c>
      <c r="C158" s="5" t="s">
        <v>115</v>
      </c>
      <c r="D158" s="3" t="s">
        <v>71</v>
      </c>
      <c r="H158" s="10">
        <v>2.15</v>
      </c>
      <c r="M158" s="8">
        <v>2</v>
      </c>
    </row>
    <row r="159" spans="1:13" ht="15.75" customHeight="1">
      <c r="A159" s="3" t="s">
        <v>13</v>
      </c>
      <c r="B159" s="3" t="s">
        <v>90</v>
      </c>
      <c r="C159" s="5" t="s">
        <v>115</v>
      </c>
      <c r="D159" s="3" t="s">
        <v>56</v>
      </c>
      <c r="G159" s="5" t="str">
        <f>UPPER(LEFT(A2,3)) &amp; "-" &amp; UPPER(LEFT(B2,3)) &amp; "-" &amp; TEXT(COUNTIF($A$2:A2,A2),"000")</f>
        <v>PEA-ALL-001</v>
      </c>
      <c r="H159" s="10">
        <v>2.2400000000000002</v>
      </c>
      <c r="M159" s="5">
        <v>10</v>
      </c>
    </row>
    <row r="160" spans="1:13" ht="15.75" customHeight="1">
      <c r="A160" s="3" t="s">
        <v>13</v>
      </c>
      <c r="B160" s="3" t="s">
        <v>90</v>
      </c>
      <c r="C160" s="5" t="s">
        <v>115</v>
      </c>
      <c r="D160" s="3" t="s">
        <v>56</v>
      </c>
      <c r="H160" s="10">
        <v>2.12</v>
      </c>
      <c r="M160" s="5">
        <v>10</v>
      </c>
    </row>
    <row r="161" spans="1:13" ht="15.75" customHeight="1">
      <c r="A161" s="3" t="s">
        <v>13</v>
      </c>
      <c r="B161" s="3" t="s">
        <v>90</v>
      </c>
      <c r="C161" s="5" t="s">
        <v>115</v>
      </c>
      <c r="D161" s="3" t="s">
        <v>56</v>
      </c>
      <c r="H161" s="10">
        <v>2.2200000000000002</v>
      </c>
      <c r="M161" s="5">
        <v>10</v>
      </c>
    </row>
    <row r="162" spans="1:13" ht="15.75" customHeight="1">
      <c r="A162" s="3" t="s">
        <v>13</v>
      </c>
      <c r="B162" s="3" t="s">
        <v>90</v>
      </c>
      <c r="C162" s="5" t="s">
        <v>115</v>
      </c>
      <c r="D162" s="3" t="s">
        <v>56</v>
      </c>
      <c r="H162" s="10">
        <v>2.2200000000000002</v>
      </c>
      <c r="M162" s="5">
        <v>10</v>
      </c>
    </row>
    <row r="163" spans="1:13" ht="15.75" customHeight="1">
      <c r="A163" s="3" t="s">
        <v>13</v>
      </c>
      <c r="B163" s="3" t="s">
        <v>90</v>
      </c>
      <c r="C163" s="5" t="s">
        <v>115</v>
      </c>
      <c r="D163" s="3" t="s">
        <v>56</v>
      </c>
      <c r="H163" s="10">
        <v>2.42</v>
      </c>
      <c r="M163" s="5">
        <v>10</v>
      </c>
    </row>
    <row r="164" spans="1:13" ht="15.75" customHeight="1">
      <c r="A164" s="3" t="s">
        <v>13</v>
      </c>
      <c r="B164" s="3" t="s">
        <v>90</v>
      </c>
      <c r="C164" s="5" t="s">
        <v>115</v>
      </c>
      <c r="D164" s="3" t="s">
        <v>56</v>
      </c>
      <c r="H164" s="10">
        <v>2.16</v>
      </c>
      <c r="M164" s="5">
        <v>10</v>
      </c>
    </row>
    <row r="165" spans="1:13" ht="15.75" customHeight="1">
      <c r="A165" s="3" t="s">
        <v>13</v>
      </c>
      <c r="B165" s="3" t="s">
        <v>90</v>
      </c>
      <c r="C165" s="5" t="s">
        <v>115</v>
      </c>
      <c r="D165" s="3" t="s">
        <v>56</v>
      </c>
      <c r="H165" s="10">
        <v>2.4500000000000002</v>
      </c>
      <c r="M165" s="5">
        <v>10</v>
      </c>
    </row>
    <row r="166" spans="1:13" ht="15.75" customHeight="1">
      <c r="A166" s="3" t="s">
        <v>13</v>
      </c>
      <c r="B166" s="3" t="s">
        <v>90</v>
      </c>
      <c r="C166" s="5" t="s">
        <v>115</v>
      </c>
      <c r="D166" s="3" t="s">
        <v>56</v>
      </c>
      <c r="H166" s="10">
        <v>2.08</v>
      </c>
      <c r="M166" s="5">
        <v>10</v>
      </c>
    </row>
    <row r="167" spans="1:13" ht="15.75" customHeight="1">
      <c r="A167" s="3" t="s">
        <v>13</v>
      </c>
      <c r="B167" s="3" t="s">
        <v>90</v>
      </c>
      <c r="C167" s="5" t="s">
        <v>115</v>
      </c>
      <c r="D167" s="3" t="s">
        <v>56</v>
      </c>
      <c r="H167" s="10">
        <v>1.89</v>
      </c>
      <c r="M167" s="5">
        <v>10</v>
      </c>
    </row>
    <row r="168" spans="1:13" ht="15.75" customHeight="1">
      <c r="A168" s="3" t="s">
        <v>13</v>
      </c>
      <c r="B168" s="3" t="s">
        <v>90</v>
      </c>
      <c r="C168" s="5" t="s">
        <v>115</v>
      </c>
      <c r="D168" s="3" t="s">
        <v>56</v>
      </c>
      <c r="H168" s="10">
        <v>2.4500000000000002</v>
      </c>
      <c r="M168" s="5">
        <v>10</v>
      </c>
    </row>
    <row r="169" spans="1:13" ht="15.75" customHeight="1">
      <c r="A169" s="3" t="s">
        <v>119</v>
      </c>
      <c r="B169" s="4" t="s">
        <v>72</v>
      </c>
      <c r="C169" s="5" t="s">
        <v>73</v>
      </c>
      <c r="D169" s="3" t="s">
        <v>74</v>
      </c>
      <c r="G169" s="5" t="s">
        <v>236</v>
      </c>
      <c r="M169" s="5">
        <v>1</v>
      </c>
    </row>
    <row r="170" spans="1:13" ht="15.75" customHeight="1">
      <c r="A170" s="3" t="s">
        <v>119</v>
      </c>
      <c r="B170" s="4" t="s">
        <v>72</v>
      </c>
      <c r="C170" s="5" t="s">
        <v>73</v>
      </c>
      <c r="D170" s="3" t="s">
        <v>56</v>
      </c>
      <c r="G170" s="5" t="s">
        <v>236</v>
      </c>
      <c r="M170" s="5">
        <v>1</v>
      </c>
    </row>
    <row r="171" spans="1:13" ht="15.75" customHeight="1">
      <c r="A171" s="3" t="s">
        <v>119</v>
      </c>
      <c r="B171" s="4" t="s">
        <v>72</v>
      </c>
      <c r="C171" s="8" t="s">
        <v>120</v>
      </c>
      <c r="D171" s="3" t="s">
        <v>56</v>
      </c>
      <c r="G171" s="5" t="s">
        <v>236</v>
      </c>
      <c r="M171" s="5">
        <v>1</v>
      </c>
    </row>
    <row r="172" spans="1:13" ht="15.75" customHeight="1"/>
    <row r="173" spans="1:13" ht="15.75" customHeight="1">
      <c r="A173" s="15" t="s">
        <v>121</v>
      </c>
      <c r="B173" s="16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spans="1:13" ht="15.75" customHeight="1"/>
    <row r="175" spans="1:13" ht="15.75" customHeight="1"/>
    <row r="176" spans="1:13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</sheetData>
  <autoFilter ref="A1:M171" xr:uid="{00000000-0009-0000-0000-000000000000}"/>
  <customSheetViews>
    <customSheetView guid="{CE5C4F23-A003-4D31-9274-F322DD808E2B}" filter="1" showAutoFilter="1">
      <pageMargins left="0.7" right="0.7" top="0.75" bottom="0.75" header="0.3" footer="0.3"/>
      <autoFilter ref="A1:M171" xr:uid="{89D2B160-26AE-463C-A75B-6685989CFFC7}"/>
    </customSheetView>
  </customSheetViews>
  <mergeCells count="1">
    <mergeCell ref="A173:B17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J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10.5703125" customWidth="1"/>
    <col min="2" max="5" width="20.85546875" customWidth="1"/>
    <col min="6" max="6" width="15.28515625" customWidth="1"/>
    <col min="7" max="7" width="18.42578125" customWidth="1"/>
    <col min="8" max="27" width="10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122</v>
      </c>
      <c r="I1" s="1" t="s">
        <v>7</v>
      </c>
      <c r="J1" s="1" t="s">
        <v>123</v>
      </c>
    </row>
    <row r="2" spans="1:10" ht="51" customHeight="1">
      <c r="A2" s="5" t="s">
        <v>124</v>
      </c>
      <c r="B2" s="5" t="s">
        <v>125</v>
      </c>
      <c r="C2" s="5" t="s">
        <v>126</v>
      </c>
      <c r="D2" s="5" t="s">
        <v>127</v>
      </c>
      <c r="E2" s="5" t="s">
        <v>125</v>
      </c>
      <c r="G2" s="5" t="s">
        <v>236</v>
      </c>
      <c r="H2" s="5">
        <v>102</v>
      </c>
    </row>
    <row r="3" spans="1:10" ht="51" customHeight="1">
      <c r="A3" s="5" t="s">
        <v>124</v>
      </c>
      <c r="B3" s="5" t="s">
        <v>128</v>
      </c>
      <c r="C3" s="5" t="s">
        <v>129</v>
      </c>
      <c r="D3" s="5" t="s">
        <v>130</v>
      </c>
      <c r="E3" s="5" t="s">
        <v>128</v>
      </c>
      <c r="G3" s="5" t="s">
        <v>236</v>
      </c>
      <c r="H3" s="5">
        <f>SUM(83+84)</f>
        <v>167</v>
      </c>
      <c r="J3" s="5" t="s">
        <v>131</v>
      </c>
    </row>
    <row r="4" spans="1:10" ht="51" customHeight="1">
      <c r="A4" s="5" t="s">
        <v>124</v>
      </c>
      <c r="B4" s="5" t="s">
        <v>132</v>
      </c>
      <c r="C4" s="5" t="s">
        <v>133</v>
      </c>
      <c r="D4" s="5" t="s">
        <v>134</v>
      </c>
      <c r="E4" s="5" t="s">
        <v>135</v>
      </c>
      <c r="G4" s="5" t="s">
        <v>236</v>
      </c>
      <c r="H4" s="5">
        <v>76</v>
      </c>
    </row>
    <row r="5" spans="1:10" ht="51" customHeight="1">
      <c r="A5" s="5" t="s">
        <v>124</v>
      </c>
      <c r="B5" s="5" t="s">
        <v>132</v>
      </c>
      <c r="C5" s="5" t="s">
        <v>133</v>
      </c>
      <c r="D5" s="5" t="s">
        <v>134</v>
      </c>
      <c r="E5" s="5" t="s">
        <v>135</v>
      </c>
      <c r="G5" s="5" t="s">
        <v>236</v>
      </c>
      <c r="H5" s="5">
        <v>78</v>
      </c>
    </row>
    <row r="6" spans="1:10" ht="51" customHeight="1">
      <c r="A6" s="5" t="s">
        <v>124</v>
      </c>
      <c r="B6" s="5" t="s">
        <v>136</v>
      </c>
      <c r="D6" s="5" t="s">
        <v>137</v>
      </c>
      <c r="E6" s="5" t="s">
        <v>138</v>
      </c>
      <c r="G6" s="5" t="s">
        <v>236</v>
      </c>
      <c r="H6" s="5">
        <v>1</v>
      </c>
    </row>
    <row r="7" spans="1:10" ht="51" customHeight="1">
      <c r="A7" s="5" t="s">
        <v>139</v>
      </c>
      <c r="B7" s="5" t="s">
        <v>140</v>
      </c>
      <c r="C7" s="5" t="s">
        <v>141</v>
      </c>
      <c r="D7" s="5" t="s">
        <v>142</v>
      </c>
      <c r="E7" s="5" t="s">
        <v>143</v>
      </c>
      <c r="G7" s="5" t="s">
        <v>236</v>
      </c>
      <c r="H7" s="5">
        <v>10</v>
      </c>
    </row>
    <row r="8" spans="1:10" ht="51" customHeight="1">
      <c r="A8" s="5" t="s">
        <v>139</v>
      </c>
      <c r="B8" s="5" t="s">
        <v>144</v>
      </c>
      <c r="C8" s="5" t="s">
        <v>145</v>
      </c>
      <c r="D8" s="5" t="s">
        <v>146</v>
      </c>
      <c r="E8" s="5" t="s">
        <v>147</v>
      </c>
      <c r="G8" s="5" t="s">
        <v>236</v>
      </c>
      <c r="H8" s="5">
        <f>SUM(21+24+27+28)</f>
        <v>100</v>
      </c>
    </row>
    <row r="9" spans="1:10" ht="51" customHeight="1">
      <c r="A9" s="5" t="s">
        <v>139</v>
      </c>
      <c r="B9" s="5" t="s">
        <v>148</v>
      </c>
      <c r="C9" s="5" t="s">
        <v>149</v>
      </c>
      <c r="D9" s="5" t="s">
        <v>146</v>
      </c>
      <c r="E9" s="5" t="s">
        <v>150</v>
      </c>
      <c r="G9" s="5" t="s">
        <v>236</v>
      </c>
      <c r="H9" s="5">
        <v>10</v>
      </c>
    </row>
    <row r="10" spans="1:10" ht="51" customHeight="1">
      <c r="A10" s="5" t="s">
        <v>124</v>
      </c>
      <c r="B10" s="5" t="s">
        <v>144</v>
      </c>
      <c r="C10" s="5" t="s">
        <v>151</v>
      </c>
      <c r="D10" s="5" t="s">
        <v>146</v>
      </c>
      <c r="E10" s="5" t="s">
        <v>152</v>
      </c>
      <c r="G10" s="5" t="s">
        <v>236</v>
      </c>
      <c r="H10" s="5">
        <f>SUM(40+34+26)</f>
        <v>100</v>
      </c>
    </row>
    <row r="11" spans="1:10" ht="51" customHeight="1">
      <c r="A11" s="5" t="s">
        <v>124</v>
      </c>
      <c r="B11" s="5" t="s">
        <v>144</v>
      </c>
      <c r="C11" s="5" t="s">
        <v>153</v>
      </c>
      <c r="D11" s="5" t="s">
        <v>146</v>
      </c>
      <c r="E11" s="5" t="s">
        <v>152</v>
      </c>
      <c r="G11" s="5" t="s">
        <v>236</v>
      </c>
      <c r="H11" s="5">
        <v>20</v>
      </c>
    </row>
    <row r="12" spans="1:10" ht="51" customHeight="1">
      <c r="A12" s="5" t="s">
        <v>139</v>
      </c>
      <c r="B12" s="5" t="s">
        <v>154</v>
      </c>
      <c r="C12" s="5" t="s">
        <v>155</v>
      </c>
      <c r="D12" s="5" t="s">
        <v>156</v>
      </c>
      <c r="E12" s="5" t="s">
        <v>157</v>
      </c>
      <c r="G12" s="5" t="s">
        <v>236</v>
      </c>
      <c r="H12" s="5">
        <v>9</v>
      </c>
    </row>
    <row r="13" spans="1:10" ht="51" customHeight="1">
      <c r="A13" s="5" t="s">
        <v>139</v>
      </c>
      <c r="B13" s="5" t="s">
        <v>154</v>
      </c>
      <c r="C13" s="5" t="s">
        <v>155</v>
      </c>
      <c r="D13" s="5" t="s">
        <v>158</v>
      </c>
      <c r="E13" s="5" t="s">
        <v>157</v>
      </c>
      <c r="G13" s="5" t="s">
        <v>236</v>
      </c>
      <c r="H13" s="5">
        <v>99</v>
      </c>
    </row>
    <row r="14" spans="1:10" ht="51" customHeight="1">
      <c r="A14" s="5" t="s">
        <v>124</v>
      </c>
      <c r="B14" s="5" t="s">
        <v>159</v>
      </c>
      <c r="C14" s="5" t="s">
        <v>160</v>
      </c>
      <c r="D14" s="5" t="s">
        <v>158</v>
      </c>
      <c r="E14" s="5" t="s">
        <v>161</v>
      </c>
      <c r="G14" s="5" t="s">
        <v>236</v>
      </c>
      <c r="H14" s="5">
        <v>80</v>
      </c>
    </row>
    <row r="15" spans="1:10" ht="51" customHeight="1">
      <c r="A15" s="5" t="s">
        <v>139</v>
      </c>
      <c r="B15" s="5" t="s">
        <v>162</v>
      </c>
      <c r="C15" s="5" t="s">
        <v>163</v>
      </c>
      <c r="D15" s="5" t="s">
        <v>130</v>
      </c>
      <c r="E15" s="5" t="s">
        <v>164</v>
      </c>
      <c r="G15" s="5" t="s">
        <v>236</v>
      </c>
      <c r="H15" s="5">
        <v>47</v>
      </c>
    </row>
    <row r="16" spans="1:10" ht="51" customHeight="1">
      <c r="A16" s="5" t="s">
        <v>139</v>
      </c>
      <c r="B16" s="5" t="s">
        <v>162</v>
      </c>
      <c r="C16" s="5" t="s">
        <v>165</v>
      </c>
      <c r="D16" s="5" t="s">
        <v>166</v>
      </c>
      <c r="E16" s="5" t="s">
        <v>164</v>
      </c>
      <c r="G16" s="5" t="s">
        <v>236</v>
      </c>
      <c r="H16" s="5">
        <v>6</v>
      </c>
    </row>
    <row r="17" spans="1:10" ht="51" customHeight="1">
      <c r="A17" s="5" t="s">
        <v>139</v>
      </c>
      <c r="B17" s="5" t="s">
        <v>162</v>
      </c>
      <c r="C17" s="5" t="s">
        <v>167</v>
      </c>
      <c r="D17" s="5" t="s">
        <v>166</v>
      </c>
      <c r="E17" s="5" t="s">
        <v>164</v>
      </c>
      <c r="G17" s="5" t="s">
        <v>236</v>
      </c>
      <c r="H17" s="5">
        <v>50</v>
      </c>
    </row>
    <row r="18" spans="1:10" ht="51" customHeight="1">
      <c r="A18" s="5" t="s">
        <v>139</v>
      </c>
      <c r="B18" s="5" t="s">
        <v>162</v>
      </c>
      <c r="C18" s="5" t="s">
        <v>168</v>
      </c>
      <c r="D18" s="5" t="s">
        <v>130</v>
      </c>
      <c r="E18" s="5" t="s">
        <v>164</v>
      </c>
      <c r="G18" s="5" t="s">
        <v>236</v>
      </c>
      <c r="H18" s="5">
        <v>50</v>
      </c>
    </row>
    <row r="19" spans="1:10" ht="51" customHeight="1">
      <c r="A19" s="3"/>
      <c r="B19" s="3"/>
      <c r="C19" s="3"/>
      <c r="D19" s="3"/>
      <c r="E19" s="3"/>
      <c r="F19" s="3"/>
      <c r="G19" s="3" t="s">
        <v>236</v>
      </c>
      <c r="H19" s="3"/>
      <c r="I19" s="3"/>
      <c r="J19" s="3"/>
    </row>
    <row r="20" spans="1:10" ht="51" customHeight="1">
      <c r="A20" s="3"/>
      <c r="B20" s="3"/>
      <c r="C20" s="3"/>
      <c r="D20" s="3"/>
      <c r="E20" s="3"/>
      <c r="F20" s="3"/>
      <c r="G20" s="3"/>
      <c r="H20" s="3">
        <f>SUM(H1:H18)</f>
        <v>1005</v>
      </c>
      <c r="I20" s="3"/>
      <c r="J20" s="3"/>
    </row>
    <row r="21" spans="1:10" ht="51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51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51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51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51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51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51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51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51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51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51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51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51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51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51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51" customHeight="1">
      <c r="A36" s="3"/>
      <c r="B36" s="3"/>
      <c r="C36" s="3"/>
      <c r="D36" s="3"/>
      <c r="E36" s="3"/>
      <c r="F36" s="3"/>
      <c r="G36" s="3"/>
      <c r="H36" s="3"/>
      <c r="J36" s="3"/>
    </row>
    <row r="37" spans="1:10" ht="51" customHeight="1">
      <c r="A37" s="3"/>
      <c r="B37" s="3"/>
      <c r="C37" s="3"/>
      <c r="D37" s="3"/>
      <c r="E37" s="3"/>
      <c r="F37" s="3"/>
      <c r="G37" s="3"/>
      <c r="H37" s="3"/>
      <c r="J37" s="3"/>
    </row>
    <row r="38" spans="1:10" ht="51" customHeight="1"/>
    <row r="39" spans="1:10" ht="51" customHeight="1"/>
    <row r="40" spans="1:10" ht="51" customHeight="1"/>
    <row r="41" spans="1:10" ht="51" customHeight="1"/>
    <row r="42" spans="1:10" ht="51" customHeight="1"/>
    <row r="43" spans="1:10" ht="51" customHeight="1"/>
    <row r="44" spans="1:10" ht="51" customHeight="1"/>
    <row r="45" spans="1:10" ht="51" customHeight="1"/>
    <row r="46" spans="1:10" ht="51" customHeight="1"/>
    <row r="47" spans="1:10" ht="51" customHeight="1"/>
    <row r="48" spans="1:10" ht="51" customHeight="1"/>
    <row r="49" ht="51" customHeight="1"/>
    <row r="50" ht="51" customHeight="1"/>
    <row r="51" ht="51" customHeight="1"/>
    <row r="52" ht="51" customHeight="1"/>
    <row r="53" ht="51" customHeight="1"/>
    <row r="54" ht="51" customHeight="1"/>
    <row r="55" ht="51" customHeight="1"/>
    <row r="56" ht="51" customHeight="1"/>
    <row r="57" ht="51" customHeight="1"/>
    <row r="58" ht="51" customHeight="1"/>
    <row r="59" ht="51" customHeight="1"/>
    <row r="60" ht="51" customHeight="1"/>
    <row r="61" ht="51" customHeight="1"/>
    <row r="62" ht="51" customHeight="1"/>
    <row r="63" ht="51" customHeight="1"/>
    <row r="64" ht="51" customHeight="1"/>
    <row r="65" ht="51" customHeight="1"/>
    <row r="66" ht="51" customHeight="1"/>
    <row r="67" ht="51" customHeight="1"/>
    <row r="68" ht="51" customHeight="1"/>
    <row r="69" ht="51" customHeight="1"/>
    <row r="70" ht="51" customHeight="1"/>
    <row r="71" ht="51" customHeight="1"/>
    <row r="72" ht="51" customHeight="1"/>
    <row r="73" ht="51" customHeight="1"/>
    <row r="74" ht="51" customHeight="1"/>
    <row r="75" ht="51" customHeight="1"/>
    <row r="76" ht="51" customHeight="1"/>
    <row r="77" ht="51" customHeight="1"/>
    <row r="78" ht="51" customHeight="1"/>
    <row r="79" ht="51" customHeight="1"/>
    <row r="80" ht="51" customHeight="1"/>
    <row r="81" ht="51" customHeight="1"/>
    <row r="82" ht="51" customHeight="1"/>
    <row r="83" ht="51" customHeight="1"/>
    <row r="84" ht="51" customHeight="1"/>
    <row r="85" ht="51" customHeight="1"/>
    <row r="86" ht="51" customHeight="1"/>
    <row r="87" ht="51" customHeight="1"/>
    <row r="88" ht="51" customHeight="1"/>
    <row r="89" ht="51" customHeight="1"/>
    <row r="90" ht="51" customHeight="1"/>
    <row r="91" ht="51" customHeight="1"/>
    <row r="92" ht="51" customHeight="1"/>
    <row r="93" ht="51" customHeight="1"/>
    <row r="94" ht="51" customHeight="1"/>
    <row r="95" ht="51" customHeight="1"/>
    <row r="96" ht="51" customHeight="1"/>
    <row r="97" ht="51" customHeight="1"/>
    <row r="98" ht="51" customHeight="1"/>
    <row r="99" ht="51" customHeight="1"/>
    <row r="100" ht="51" customHeight="1"/>
    <row r="101" ht="51" customHeight="1"/>
    <row r="102" ht="51" customHeight="1"/>
    <row r="103" ht="51" customHeight="1"/>
    <row r="104" ht="51" customHeight="1"/>
    <row r="105" ht="51" customHeight="1"/>
    <row r="106" ht="51" customHeight="1"/>
    <row r="107" ht="51" customHeight="1"/>
    <row r="108" ht="51" customHeight="1"/>
    <row r="109" ht="51" customHeight="1"/>
    <row r="110" ht="51" customHeight="1"/>
    <row r="111" ht="51" customHeight="1"/>
    <row r="112" ht="51" customHeight="1"/>
    <row r="113" ht="51" customHeight="1"/>
    <row r="114" ht="51" customHeight="1"/>
    <row r="115" ht="51" customHeight="1"/>
    <row r="116" ht="51" customHeight="1"/>
    <row r="117" ht="51" customHeight="1"/>
    <row r="118" ht="51" customHeight="1"/>
    <row r="119" ht="51" customHeight="1"/>
    <row r="120" ht="51" customHeight="1"/>
    <row r="121" ht="51" customHeight="1"/>
    <row r="122" ht="51" customHeight="1"/>
    <row r="123" ht="51" customHeight="1"/>
    <row r="124" ht="51" customHeight="1"/>
    <row r="125" ht="51" customHeight="1"/>
    <row r="126" ht="51" customHeight="1"/>
    <row r="127" ht="51" customHeight="1"/>
    <row r="128" ht="51" customHeight="1"/>
    <row r="129" ht="51" customHeight="1"/>
    <row r="130" ht="51" customHeight="1"/>
    <row r="131" ht="51" customHeight="1"/>
    <row r="132" ht="51" customHeight="1"/>
    <row r="133" ht="51" customHeight="1"/>
    <row r="134" ht="51" customHeight="1"/>
    <row r="135" ht="51" customHeight="1"/>
    <row r="136" ht="51" customHeight="1"/>
    <row r="137" ht="51" customHeight="1"/>
    <row r="138" ht="51" customHeight="1"/>
    <row r="139" ht="51" customHeight="1"/>
    <row r="140" ht="51" customHeight="1"/>
    <row r="141" ht="51" customHeight="1"/>
    <row r="142" ht="51" customHeight="1"/>
    <row r="143" ht="51" customHeight="1"/>
    <row r="144" ht="51" customHeight="1"/>
    <row r="145" ht="51" customHeight="1"/>
    <row r="146" ht="51" customHeight="1"/>
    <row r="147" ht="51" customHeight="1"/>
    <row r="148" ht="51" customHeight="1"/>
    <row r="149" ht="51" customHeight="1"/>
    <row r="150" ht="51" customHeight="1"/>
    <row r="151" ht="51" customHeight="1"/>
    <row r="152" ht="51" customHeight="1"/>
    <row r="153" ht="51" customHeight="1"/>
    <row r="154" ht="51" customHeight="1"/>
    <row r="155" ht="51" customHeight="1"/>
    <row r="156" ht="51" customHeight="1"/>
    <row r="157" ht="51" customHeight="1"/>
    <row r="158" ht="51" customHeight="1"/>
    <row r="159" ht="51" customHeight="1"/>
    <row r="160" ht="51" customHeight="1"/>
    <row r="161" ht="51" customHeight="1"/>
    <row r="162" ht="51" customHeight="1"/>
    <row r="163" ht="51" customHeight="1"/>
    <row r="164" ht="51" customHeight="1"/>
    <row r="165" ht="51" customHeight="1"/>
    <row r="166" ht="51" customHeight="1"/>
    <row r="167" ht="51" customHeight="1"/>
    <row r="168" ht="51" customHeight="1"/>
    <row r="169" ht="51" customHeight="1"/>
    <row r="170" ht="51" customHeight="1"/>
    <row r="171" ht="51" customHeight="1"/>
    <row r="172" ht="51" customHeight="1"/>
    <row r="173" ht="51" customHeight="1"/>
    <row r="174" ht="51" customHeight="1"/>
    <row r="175" ht="51" customHeight="1"/>
    <row r="176" ht="51" customHeight="1"/>
    <row r="177" ht="51" customHeight="1"/>
    <row r="178" ht="51" customHeight="1"/>
    <row r="179" ht="51" customHeight="1"/>
    <row r="180" ht="51" customHeight="1"/>
    <row r="181" ht="51" customHeight="1"/>
    <row r="182" ht="51" customHeight="1"/>
    <row r="183" ht="51" customHeight="1"/>
    <row r="184" ht="51" customHeight="1"/>
    <row r="185" ht="51" customHeight="1"/>
    <row r="186" ht="51" customHeight="1"/>
    <row r="187" ht="51" customHeight="1"/>
    <row r="188" ht="51" customHeight="1"/>
    <row r="189" ht="51" customHeight="1"/>
    <row r="190" ht="51" customHeight="1"/>
    <row r="191" ht="51" customHeight="1"/>
    <row r="192" ht="51" customHeight="1"/>
    <row r="193" ht="51" customHeight="1"/>
    <row r="194" ht="51" customHeight="1"/>
    <row r="195" ht="51" customHeight="1"/>
    <row r="196" ht="51" customHeight="1"/>
    <row r="197" ht="51" customHeight="1"/>
    <row r="198" ht="51" customHeight="1"/>
    <row r="199" ht="51" customHeight="1"/>
    <row r="200" ht="51" customHeight="1"/>
    <row r="201" ht="51" customHeight="1"/>
    <row r="202" ht="51" customHeight="1"/>
    <row r="203" ht="51" customHeight="1"/>
    <row r="204" ht="51" customHeight="1"/>
    <row r="205" ht="51" customHeight="1"/>
    <row r="206" ht="51" customHeight="1"/>
    <row r="207" ht="51" customHeight="1"/>
    <row r="208" ht="51" customHeight="1"/>
    <row r="209" ht="51" customHeight="1"/>
    <row r="210" ht="51" customHeight="1"/>
    <row r="211" ht="51" customHeight="1"/>
    <row r="212" ht="51" customHeight="1"/>
    <row r="213" ht="51" customHeight="1"/>
    <row r="214" ht="51" customHeight="1"/>
    <row r="215" ht="51" customHeight="1"/>
    <row r="216" ht="51" customHeight="1"/>
    <row r="217" ht="51" customHeight="1"/>
    <row r="218" ht="51" customHeight="1"/>
    <row r="219" ht="51" customHeight="1"/>
    <row r="220" ht="51" customHeight="1"/>
    <row r="221" ht="51" customHeight="1"/>
    <row r="222" ht="51" customHeight="1"/>
    <row r="223" ht="51" customHeight="1"/>
    <row r="224" ht="51" customHeight="1"/>
    <row r="225" ht="51" customHeight="1"/>
    <row r="226" ht="51" customHeight="1"/>
    <row r="227" ht="51" customHeight="1"/>
    <row r="228" ht="51" customHeight="1"/>
    <row r="229" ht="51" customHeight="1"/>
    <row r="230" ht="51" customHeight="1"/>
    <row r="231" ht="51" customHeight="1"/>
    <row r="232" ht="51" customHeight="1"/>
    <row r="233" ht="51" customHeight="1"/>
    <row r="234" ht="51" customHeight="1"/>
    <row r="235" ht="51" customHeight="1"/>
    <row r="236" ht="51" customHeight="1"/>
    <row r="237" ht="51" customHeight="1"/>
    <row r="238" ht="51" customHeight="1"/>
    <row r="239" ht="51" customHeight="1"/>
    <row r="240" ht="51" customHeight="1"/>
    <row r="241" ht="51" customHeight="1"/>
    <row r="242" ht="51" customHeight="1"/>
    <row r="243" ht="51" customHeight="1"/>
    <row r="244" ht="51" customHeight="1"/>
    <row r="245" ht="51" customHeight="1"/>
    <row r="246" ht="51" customHeight="1"/>
    <row r="247" ht="51" customHeight="1"/>
    <row r="248" ht="51" customHeight="1"/>
    <row r="249" ht="51" customHeight="1"/>
    <row r="250" ht="51" customHeight="1"/>
    <row r="251" ht="51" customHeight="1"/>
    <row r="252" ht="51" customHeight="1"/>
    <row r="253" ht="51" customHeight="1"/>
    <row r="254" ht="51" customHeight="1"/>
    <row r="255" ht="51" customHeight="1"/>
    <row r="256" ht="51" customHeight="1"/>
    <row r="257" ht="51" customHeight="1"/>
    <row r="258" ht="51" customHeight="1"/>
    <row r="259" ht="51" customHeight="1"/>
    <row r="260" ht="51" customHeight="1"/>
    <row r="261" ht="51" customHeight="1"/>
    <row r="262" ht="51" customHeight="1"/>
    <row r="263" ht="51" customHeight="1"/>
    <row r="264" ht="51" customHeight="1"/>
    <row r="265" ht="51" customHeight="1"/>
    <row r="266" ht="51" customHeight="1"/>
    <row r="267" ht="51" customHeight="1"/>
    <row r="268" ht="51" customHeight="1"/>
    <row r="269" ht="51" customHeight="1"/>
    <row r="270" ht="51" customHeight="1"/>
    <row r="271" ht="51" customHeight="1"/>
    <row r="272" ht="51" customHeight="1"/>
    <row r="273" ht="51" customHeight="1"/>
    <row r="274" ht="51" customHeight="1"/>
    <row r="275" ht="51" customHeight="1"/>
    <row r="276" ht="51" customHeight="1"/>
    <row r="277" ht="51" customHeight="1"/>
    <row r="278" ht="51" customHeight="1"/>
    <row r="279" ht="51" customHeight="1"/>
    <row r="280" ht="51" customHeight="1"/>
    <row r="281" ht="51" customHeight="1"/>
    <row r="282" ht="51" customHeight="1"/>
    <row r="283" ht="51" customHeight="1"/>
    <row r="284" ht="51" customHeight="1"/>
    <row r="285" ht="51" customHeight="1"/>
    <row r="286" ht="51" customHeight="1"/>
    <row r="287" ht="51" customHeight="1"/>
    <row r="288" ht="51" customHeight="1"/>
    <row r="289" ht="51" customHeight="1"/>
    <row r="290" ht="51" customHeight="1"/>
    <row r="291" ht="51" customHeight="1"/>
    <row r="292" ht="51" customHeight="1"/>
    <row r="293" ht="51" customHeight="1"/>
    <row r="294" ht="51" customHeight="1"/>
    <row r="295" ht="51" customHeight="1"/>
    <row r="296" ht="51" customHeight="1"/>
    <row r="297" ht="51" customHeight="1"/>
    <row r="298" ht="51" customHeight="1"/>
    <row r="299" ht="51" customHeight="1"/>
    <row r="300" ht="51" customHeight="1"/>
    <row r="301" ht="51" customHeight="1"/>
    <row r="302" ht="51" customHeight="1"/>
    <row r="303" ht="51" customHeight="1"/>
    <row r="304" ht="51" customHeight="1"/>
    <row r="305" ht="51" customHeight="1"/>
    <row r="306" ht="51" customHeight="1"/>
    <row r="307" ht="51" customHeight="1"/>
    <row r="308" ht="51" customHeight="1"/>
    <row r="309" ht="51" customHeight="1"/>
    <row r="310" ht="51" customHeight="1"/>
    <row r="311" ht="51" customHeight="1"/>
    <row r="312" ht="51" customHeight="1"/>
    <row r="313" ht="51" customHeight="1"/>
    <row r="314" ht="51" customHeight="1"/>
    <row r="315" ht="51" customHeight="1"/>
    <row r="316" ht="51" customHeight="1"/>
    <row r="317" ht="51" customHeight="1"/>
    <row r="318" ht="51" customHeight="1"/>
    <row r="319" ht="51" customHeight="1"/>
    <row r="320" ht="51" customHeight="1"/>
    <row r="321" ht="51" customHeight="1"/>
    <row r="322" ht="51" customHeight="1"/>
    <row r="323" ht="51" customHeight="1"/>
    <row r="324" ht="51" customHeight="1"/>
    <row r="325" ht="51" customHeight="1"/>
    <row r="326" ht="51" customHeight="1"/>
    <row r="327" ht="51" customHeight="1"/>
    <row r="328" ht="51" customHeight="1"/>
    <row r="329" ht="51" customHeight="1"/>
    <row r="330" ht="51" customHeight="1"/>
    <row r="331" ht="51" customHeight="1"/>
    <row r="332" ht="51" customHeight="1"/>
    <row r="333" ht="51" customHeight="1"/>
    <row r="334" ht="51" customHeight="1"/>
    <row r="335" ht="51" customHeight="1"/>
    <row r="336" ht="51" customHeight="1"/>
    <row r="337" ht="51" customHeight="1"/>
    <row r="338" ht="51" customHeight="1"/>
    <row r="339" ht="51" customHeight="1"/>
    <row r="340" ht="51" customHeight="1"/>
    <row r="341" ht="51" customHeight="1"/>
    <row r="342" ht="51" customHeight="1"/>
    <row r="343" ht="51" customHeight="1"/>
    <row r="344" ht="51" customHeight="1"/>
    <row r="345" ht="51" customHeight="1"/>
    <row r="346" ht="51" customHeight="1"/>
    <row r="347" ht="51" customHeight="1"/>
    <row r="348" ht="51" customHeight="1"/>
    <row r="349" ht="51" customHeight="1"/>
    <row r="350" ht="51" customHeight="1"/>
    <row r="351" ht="51" customHeight="1"/>
    <row r="352" ht="51" customHeight="1"/>
    <row r="353" ht="51" customHeight="1"/>
    <row r="354" ht="51" customHeight="1"/>
    <row r="355" ht="51" customHeight="1"/>
    <row r="356" ht="51" customHeight="1"/>
    <row r="357" ht="51" customHeight="1"/>
    <row r="358" ht="51" customHeight="1"/>
    <row r="359" ht="51" customHeight="1"/>
    <row r="360" ht="51" customHeight="1"/>
    <row r="361" ht="51" customHeight="1"/>
    <row r="362" ht="51" customHeight="1"/>
    <row r="363" ht="51" customHeight="1"/>
    <row r="364" ht="51" customHeight="1"/>
    <row r="365" ht="51" customHeight="1"/>
    <row r="366" ht="51" customHeight="1"/>
    <row r="367" ht="51" customHeight="1"/>
    <row r="368" ht="51" customHeight="1"/>
    <row r="369" ht="51" customHeight="1"/>
    <row r="370" ht="51" customHeight="1"/>
    <row r="371" ht="51" customHeight="1"/>
    <row r="372" ht="51" customHeight="1"/>
    <row r="373" ht="51" customHeight="1"/>
    <row r="374" ht="51" customHeight="1"/>
    <row r="375" ht="51" customHeight="1"/>
    <row r="376" ht="51" customHeight="1"/>
    <row r="377" ht="51" customHeight="1"/>
    <row r="378" ht="51" customHeight="1"/>
    <row r="379" ht="51" customHeight="1"/>
    <row r="380" ht="51" customHeight="1"/>
    <row r="381" ht="51" customHeight="1"/>
    <row r="382" ht="51" customHeight="1"/>
    <row r="383" ht="51" customHeight="1"/>
    <row r="384" ht="51" customHeight="1"/>
    <row r="385" ht="51" customHeight="1"/>
    <row r="386" ht="51" customHeight="1"/>
    <row r="387" ht="51" customHeight="1"/>
    <row r="388" ht="51" customHeight="1"/>
    <row r="389" ht="51" customHeight="1"/>
    <row r="390" ht="51" customHeight="1"/>
    <row r="391" ht="51" customHeight="1"/>
    <row r="392" ht="51" customHeight="1"/>
    <row r="393" ht="51" customHeight="1"/>
    <row r="394" ht="51" customHeight="1"/>
    <row r="395" ht="51" customHeight="1"/>
    <row r="396" ht="51" customHeight="1"/>
    <row r="397" ht="51" customHeight="1"/>
    <row r="398" ht="51" customHeight="1"/>
    <row r="399" ht="51" customHeight="1"/>
    <row r="400" ht="51" customHeight="1"/>
    <row r="401" ht="51" customHeight="1"/>
    <row r="402" ht="51" customHeight="1"/>
    <row r="403" ht="51" customHeight="1"/>
    <row r="404" ht="51" customHeight="1"/>
    <row r="405" ht="51" customHeight="1"/>
    <row r="406" ht="51" customHeight="1"/>
    <row r="407" ht="51" customHeight="1"/>
    <row r="408" ht="51" customHeight="1"/>
    <row r="409" ht="51" customHeight="1"/>
    <row r="410" ht="51" customHeight="1"/>
    <row r="411" ht="51" customHeight="1"/>
    <row r="412" ht="51" customHeight="1"/>
    <row r="413" ht="51" customHeight="1"/>
    <row r="414" ht="51" customHeight="1"/>
    <row r="415" ht="51" customHeight="1"/>
    <row r="416" ht="51" customHeight="1"/>
    <row r="417" ht="51" customHeight="1"/>
    <row r="418" ht="51" customHeight="1"/>
    <row r="419" ht="51" customHeight="1"/>
    <row r="420" ht="51" customHeight="1"/>
    <row r="421" ht="51" customHeight="1"/>
    <row r="422" ht="51" customHeight="1"/>
    <row r="423" ht="51" customHeight="1"/>
    <row r="424" ht="51" customHeight="1"/>
    <row r="425" ht="51" customHeight="1"/>
    <row r="426" ht="51" customHeight="1"/>
    <row r="427" ht="51" customHeight="1"/>
    <row r="428" ht="51" customHeight="1"/>
    <row r="429" ht="51" customHeight="1"/>
    <row r="430" ht="51" customHeight="1"/>
    <row r="431" ht="51" customHeight="1"/>
    <row r="432" ht="51" customHeight="1"/>
    <row r="433" ht="51" customHeight="1"/>
    <row r="434" ht="51" customHeight="1"/>
    <row r="435" ht="51" customHeight="1"/>
    <row r="436" ht="51" customHeight="1"/>
    <row r="437" ht="51" customHeight="1"/>
    <row r="438" ht="51" customHeight="1"/>
    <row r="439" ht="51" customHeight="1"/>
    <row r="440" ht="51" customHeight="1"/>
    <row r="441" ht="51" customHeight="1"/>
    <row r="442" ht="51" customHeight="1"/>
    <row r="443" ht="51" customHeight="1"/>
    <row r="444" ht="51" customHeight="1"/>
    <row r="445" ht="51" customHeight="1"/>
    <row r="446" ht="51" customHeight="1"/>
    <row r="447" ht="51" customHeight="1"/>
    <row r="448" ht="51" customHeight="1"/>
    <row r="449" ht="51" customHeight="1"/>
    <row r="450" ht="51" customHeight="1"/>
    <row r="451" ht="51" customHeight="1"/>
    <row r="452" ht="51" customHeight="1"/>
    <row r="453" ht="51" customHeight="1"/>
    <row r="454" ht="51" customHeight="1"/>
    <row r="455" ht="51" customHeight="1"/>
    <row r="456" ht="51" customHeight="1"/>
    <row r="457" ht="51" customHeight="1"/>
    <row r="458" ht="51" customHeight="1"/>
    <row r="459" ht="51" customHeight="1"/>
    <row r="460" ht="51" customHeight="1"/>
    <row r="461" ht="51" customHeight="1"/>
    <row r="462" ht="51" customHeight="1"/>
    <row r="463" ht="51" customHeight="1"/>
    <row r="464" ht="51" customHeight="1"/>
    <row r="465" ht="51" customHeight="1"/>
    <row r="466" ht="51" customHeight="1"/>
    <row r="467" ht="51" customHeight="1"/>
    <row r="468" ht="51" customHeight="1"/>
    <row r="469" ht="51" customHeight="1"/>
    <row r="470" ht="51" customHeight="1"/>
    <row r="471" ht="51" customHeight="1"/>
    <row r="472" ht="51" customHeight="1"/>
    <row r="473" ht="51" customHeight="1"/>
    <row r="474" ht="51" customHeight="1"/>
    <row r="475" ht="51" customHeight="1"/>
    <row r="476" ht="51" customHeight="1"/>
    <row r="477" ht="51" customHeight="1"/>
    <row r="478" ht="51" customHeight="1"/>
    <row r="479" ht="51" customHeight="1"/>
    <row r="480" ht="51" customHeight="1"/>
    <row r="481" ht="51" customHeight="1"/>
    <row r="482" ht="51" customHeight="1"/>
    <row r="483" ht="51" customHeight="1"/>
    <row r="484" ht="51" customHeight="1"/>
    <row r="485" ht="51" customHeight="1"/>
    <row r="486" ht="51" customHeight="1"/>
    <row r="487" ht="51" customHeight="1"/>
    <row r="488" ht="51" customHeight="1"/>
    <row r="489" ht="51" customHeight="1"/>
    <row r="490" ht="51" customHeight="1"/>
    <row r="491" ht="51" customHeight="1"/>
    <row r="492" ht="51" customHeight="1"/>
    <row r="493" ht="51" customHeight="1"/>
    <row r="494" ht="51" customHeight="1"/>
    <row r="495" ht="51" customHeight="1"/>
    <row r="496" ht="51" customHeight="1"/>
    <row r="497" ht="51" customHeight="1"/>
    <row r="498" ht="51" customHeight="1"/>
    <row r="499" ht="51" customHeight="1"/>
    <row r="500" ht="51" customHeight="1"/>
    <row r="501" ht="51" customHeight="1"/>
    <row r="502" ht="51" customHeight="1"/>
    <row r="503" ht="51" customHeight="1"/>
    <row r="504" ht="51" customHeight="1"/>
    <row r="505" ht="51" customHeight="1"/>
    <row r="506" ht="51" customHeight="1"/>
    <row r="507" ht="51" customHeight="1"/>
    <row r="508" ht="51" customHeight="1"/>
    <row r="509" ht="51" customHeight="1"/>
    <row r="510" ht="51" customHeight="1"/>
    <row r="511" ht="51" customHeight="1"/>
    <row r="512" ht="51" customHeight="1"/>
    <row r="513" ht="51" customHeight="1"/>
    <row r="514" ht="51" customHeight="1"/>
    <row r="515" ht="51" customHeight="1"/>
    <row r="516" ht="51" customHeight="1"/>
    <row r="517" ht="51" customHeight="1"/>
    <row r="518" ht="51" customHeight="1"/>
    <row r="519" ht="51" customHeight="1"/>
    <row r="520" ht="51" customHeight="1"/>
    <row r="521" ht="51" customHeight="1"/>
    <row r="522" ht="51" customHeight="1"/>
    <row r="523" ht="51" customHeight="1"/>
    <row r="524" ht="51" customHeight="1"/>
    <row r="525" ht="51" customHeight="1"/>
    <row r="526" ht="51" customHeight="1"/>
    <row r="527" ht="51" customHeight="1"/>
    <row r="528" ht="51" customHeight="1"/>
    <row r="529" ht="51" customHeight="1"/>
    <row r="530" ht="51" customHeight="1"/>
    <row r="531" ht="51" customHeight="1"/>
    <row r="532" ht="51" customHeight="1"/>
    <row r="533" ht="51" customHeight="1"/>
    <row r="534" ht="51" customHeight="1"/>
    <row r="535" ht="51" customHeight="1"/>
    <row r="536" ht="51" customHeight="1"/>
    <row r="537" ht="51" customHeight="1"/>
    <row r="538" ht="51" customHeight="1"/>
    <row r="539" ht="51" customHeight="1"/>
    <row r="540" ht="51" customHeight="1"/>
    <row r="541" ht="51" customHeight="1"/>
    <row r="542" ht="51" customHeight="1"/>
    <row r="543" ht="51" customHeight="1"/>
    <row r="544" ht="51" customHeight="1"/>
    <row r="545" ht="51" customHeight="1"/>
    <row r="546" ht="51" customHeight="1"/>
    <row r="547" ht="51" customHeight="1"/>
    <row r="548" ht="51" customHeight="1"/>
    <row r="549" ht="51" customHeight="1"/>
    <row r="550" ht="51" customHeight="1"/>
    <row r="551" ht="51" customHeight="1"/>
    <row r="552" ht="51" customHeight="1"/>
    <row r="553" ht="51" customHeight="1"/>
    <row r="554" ht="51" customHeight="1"/>
    <row r="555" ht="51" customHeight="1"/>
    <row r="556" ht="51" customHeight="1"/>
    <row r="557" ht="51" customHeight="1"/>
    <row r="558" ht="51" customHeight="1"/>
    <row r="559" ht="51" customHeight="1"/>
    <row r="560" ht="51" customHeight="1"/>
    <row r="561" ht="51" customHeight="1"/>
    <row r="562" ht="51" customHeight="1"/>
    <row r="563" ht="51" customHeight="1"/>
    <row r="564" ht="51" customHeight="1"/>
    <row r="565" ht="51" customHeight="1"/>
    <row r="566" ht="51" customHeight="1"/>
    <row r="567" ht="51" customHeight="1"/>
    <row r="568" ht="51" customHeight="1"/>
    <row r="569" ht="51" customHeight="1"/>
    <row r="570" ht="51" customHeight="1"/>
    <row r="571" ht="51" customHeight="1"/>
    <row r="572" ht="51" customHeight="1"/>
    <row r="573" ht="51" customHeight="1"/>
    <row r="574" ht="51" customHeight="1"/>
    <row r="575" ht="51" customHeight="1"/>
    <row r="576" ht="51" customHeight="1"/>
    <row r="577" ht="51" customHeight="1"/>
    <row r="578" ht="51" customHeight="1"/>
    <row r="579" ht="51" customHeight="1"/>
    <row r="580" ht="51" customHeight="1"/>
    <row r="581" ht="51" customHeight="1"/>
    <row r="582" ht="51" customHeight="1"/>
    <row r="583" ht="51" customHeight="1"/>
    <row r="584" ht="51" customHeight="1"/>
    <row r="585" ht="51" customHeight="1"/>
    <row r="586" ht="51" customHeight="1"/>
    <row r="587" ht="51" customHeight="1"/>
    <row r="588" ht="51" customHeight="1"/>
    <row r="589" ht="51" customHeight="1"/>
    <row r="590" ht="51" customHeight="1"/>
    <row r="591" ht="51" customHeight="1"/>
    <row r="592" ht="51" customHeight="1"/>
    <row r="593" ht="51" customHeight="1"/>
    <row r="594" ht="51" customHeight="1"/>
    <row r="595" ht="51" customHeight="1"/>
    <row r="596" ht="51" customHeight="1"/>
    <row r="597" ht="51" customHeight="1"/>
    <row r="598" ht="51" customHeight="1"/>
    <row r="599" ht="51" customHeight="1"/>
    <row r="600" ht="51" customHeight="1"/>
    <row r="601" ht="51" customHeight="1"/>
    <row r="602" ht="51" customHeight="1"/>
    <row r="603" ht="51" customHeight="1"/>
    <row r="604" ht="51" customHeight="1"/>
    <row r="605" ht="51" customHeight="1"/>
    <row r="606" ht="51" customHeight="1"/>
    <row r="607" ht="51" customHeight="1"/>
    <row r="608" ht="51" customHeight="1"/>
    <row r="609" ht="51" customHeight="1"/>
    <row r="610" ht="51" customHeight="1"/>
    <row r="611" ht="51" customHeight="1"/>
    <row r="612" ht="51" customHeight="1"/>
    <row r="613" ht="51" customHeight="1"/>
    <row r="614" ht="51" customHeight="1"/>
    <row r="615" ht="51" customHeight="1"/>
    <row r="616" ht="51" customHeight="1"/>
    <row r="617" ht="51" customHeight="1"/>
    <row r="618" ht="51" customHeight="1"/>
    <row r="619" ht="51" customHeight="1"/>
    <row r="620" ht="51" customHeight="1"/>
    <row r="621" ht="51" customHeight="1"/>
    <row r="622" ht="51" customHeight="1"/>
    <row r="623" ht="51" customHeight="1"/>
    <row r="624" ht="51" customHeight="1"/>
    <row r="625" ht="51" customHeight="1"/>
    <row r="626" ht="51" customHeight="1"/>
    <row r="627" ht="51" customHeight="1"/>
    <row r="628" ht="51" customHeight="1"/>
    <row r="629" ht="51" customHeight="1"/>
    <row r="630" ht="51" customHeight="1"/>
    <row r="631" ht="51" customHeight="1"/>
    <row r="632" ht="51" customHeight="1"/>
    <row r="633" ht="51" customHeight="1"/>
    <row r="634" ht="51" customHeight="1"/>
    <row r="635" ht="51" customHeight="1"/>
    <row r="636" ht="51" customHeight="1"/>
    <row r="637" ht="51" customHeight="1"/>
    <row r="638" ht="51" customHeight="1"/>
    <row r="639" ht="51" customHeight="1"/>
    <row r="640" ht="51" customHeight="1"/>
    <row r="641" ht="51" customHeight="1"/>
    <row r="642" ht="51" customHeight="1"/>
    <row r="643" ht="51" customHeight="1"/>
    <row r="644" ht="51" customHeight="1"/>
    <row r="645" ht="51" customHeight="1"/>
    <row r="646" ht="51" customHeight="1"/>
    <row r="647" ht="51" customHeight="1"/>
    <row r="648" ht="51" customHeight="1"/>
    <row r="649" ht="51" customHeight="1"/>
    <row r="650" ht="51" customHeight="1"/>
    <row r="651" ht="51" customHeight="1"/>
    <row r="652" ht="51" customHeight="1"/>
    <row r="653" ht="51" customHeight="1"/>
    <row r="654" ht="51" customHeight="1"/>
    <row r="655" ht="51" customHeight="1"/>
    <row r="656" ht="51" customHeight="1"/>
    <row r="657" ht="51" customHeight="1"/>
    <row r="658" ht="51" customHeight="1"/>
    <row r="659" ht="51" customHeight="1"/>
    <row r="660" ht="51" customHeight="1"/>
    <row r="661" ht="51" customHeight="1"/>
    <row r="662" ht="51" customHeight="1"/>
    <row r="663" ht="51" customHeight="1"/>
    <row r="664" ht="51" customHeight="1"/>
    <row r="665" ht="51" customHeight="1"/>
    <row r="666" ht="51" customHeight="1"/>
    <row r="667" ht="51" customHeight="1"/>
    <row r="668" ht="51" customHeight="1"/>
    <row r="669" ht="51" customHeight="1"/>
    <row r="670" ht="51" customHeight="1"/>
    <row r="671" ht="51" customHeight="1"/>
    <row r="672" ht="51" customHeight="1"/>
    <row r="673" ht="51" customHeight="1"/>
    <row r="674" ht="51" customHeight="1"/>
    <row r="675" ht="51" customHeight="1"/>
    <row r="676" ht="51" customHeight="1"/>
    <row r="677" ht="51" customHeight="1"/>
    <row r="678" ht="51" customHeight="1"/>
    <row r="679" ht="51" customHeight="1"/>
    <row r="680" ht="51" customHeight="1"/>
    <row r="681" ht="51" customHeight="1"/>
    <row r="682" ht="51" customHeight="1"/>
    <row r="683" ht="51" customHeight="1"/>
    <row r="684" ht="51" customHeight="1"/>
    <row r="685" ht="51" customHeight="1"/>
    <row r="686" ht="51" customHeight="1"/>
    <row r="687" ht="51" customHeight="1"/>
    <row r="688" ht="51" customHeight="1"/>
    <row r="689" ht="51" customHeight="1"/>
    <row r="690" ht="51" customHeight="1"/>
    <row r="691" ht="51" customHeight="1"/>
    <row r="692" ht="51" customHeight="1"/>
    <row r="693" ht="51" customHeight="1"/>
    <row r="694" ht="51" customHeight="1"/>
    <row r="695" ht="51" customHeight="1"/>
    <row r="696" ht="51" customHeight="1"/>
    <row r="697" ht="51" customHeight="1"/>
    <row r="698" ht="51" customHeight="1"/>
    <row r="699" ht="51" customHeight="1"/>
    <row r="700" ht="51" customHeight="1"/>
    <row r="701" ht="51" customHeight="1"/>
    <row r="702" ht="51" customHeight="1"/>
    <row r="703" ht="51" customHeight="1"/>
    <row r="704" ht="51" customHeight="1"/>
    <row r="705" ht="51" customHeight="1"/>
    <row r="706" ht="51" customHeight="1"/>
    <row r="707" ht="51" customHeight="1"/>
    <row r="708" ht="51" customHeight="1"/>
    <row r="709" ht="51" customHeight="1"/>
    <row r="710" ht="51" customHeight="1"/>
    <row r="711" ht="51" customHeight="1"/>
    <row r="712" ht="51" customHeight="1"/>
    <row r="713" ht="51" customHeight="1"/>
    <row r="714" ht="51" customHeight="1"/>
    <row r="715" ht="51" customHeight="1"/>
    <row r="716" ht="51" customHeight="1"/>
    <row r="717" ht="51" customHeight="1"/>
    <row r="718" ht="51" customHeight="1"/>
    <row r="719" ht="51" customHeight="1"/>
    <row r="720" ht="51" customHeight="1"/>
    <row r="721" ht="51" customHeight="1"/>
    <row r="722" ht="51" customHeight="1"/>
    <row r="723" ht="51" customHeight="1"/>
    <row r="724" ht="51" customHeight="1"/>
    <row r="725" ht="51" customHeight="1"/>
    <row r="726" ht="51" customHeight="1"/>
    <row r="727" ht="51" customHeight="1"/>
    <row r="728" ht="51" customHeight="1"/>
    <row r="729" ht="51" customHeight="1"/>
    <row r="730" ht="51" customHeight="1"/>
    <row r="731" ht="51" customHeight="1"/>
    <row r="732" ht="51" customHeight="1"/>
    <row r="733" ht="51" customHeight="1"/>
    <row r="734" ht="51" customHeight="1"/>
    <row r="735" ht="51" customHeight="1"/>
    <row r="736" ht="51" customHeight="1"/>
    <row r="737" ht="51" customHeight="1"/>
    <row r="738" ht="51" customHeight="1"/>
    <row r="739" ht="51" customHeight="1"/>
    <row r="740" ht="51" customHeight="1"/>
    <row r="741" ht="51" customHeight="1"/>
    <row r="742" ht="51" customHeight="1"/>
    <row r="743" ht="51" customHeight="1"/>
    <row r="744" ht="51" customHeight="1"/>
    <row r="745" ht="51" customHeight="1"/>
    <row r="746" ht="51" customHeight="1"/>
    <row r="747" ht="51" customHeight="1"/>
    <row r="748" ht="51" customHeight="1"/>
    <row r="749" ht="51" customHeight="1"/>
    <row r="750" ht="51" customHeight="1"/>
    <row r="751" ht="51" customHeight="1"/>
    <row r="752" ht="51" customHeight="1"/>
    <row r="753" ht="51" customHeight="1"/>
    <row r="754" ht="51" customHeight="1"/>
    <row r="755" ht="51" customHeight="1"/>
    <row r="756" ht="51" customHeight="1"/>
    <row r="757" ht="51" customHeight="1"/>
    <row r="758" ht="51" customHeight="1"/>
    <row r="759" ht="51" customHeight="1"/>
    <row r="760" ht="51" customHeight="1"/>
    <row r="761" ht="51" customHeight="1"/>
    <row r="762" ht="51" customHeight="1"/>
    <row r="763" ht="51" customHeight="1"/>
    <row r="764" ht="51" customHeight="1"/>
    <row r="765" ht="51" customHeight="1"/>
    <row r="766" ht="51" customHeight="1"/>
    <row r="767" ht="51" customHeight="1"/>
    <row r="768" ht="51" customHeight="1"/>
    <row r="769" ht="51" customHeight="1"/>
    <row r="770" ht="51" customHeight="1"/>
    <row r="771" ht="51" customHeight="1"/>
    <row r="772" ht="51" customHeight="1"/>
    <row r="773" ht="51" customHeight="1"/>
    <row r="774" ht="51" customHeight="1"/>
    <row r="775" ht="51" customHeight="1"/>
    <row r="776" ht="51" customHeight="1"/>
    <row r="777" ht="51" customHeight="1"/>
    <row r="778" ht="51" customHeight="1"/>
    <row r="779" ht="51" customHeight="1"/>
    <row r="780" ht="51" customHeight="1"/>
    <row r="781" ht="51" customHeight="1"/>
    <row r="782" ht="51" customHeight="1"/>
    <row r="783" ht="51" customHeight="1"/>
    <row r="784" ht="51" customHeight="1"/>
    <row r="785" ht="51" customHeight="1"/>
    <row r="786" ht="51" customHeight="1"/>
    <row r="787" ht="51" customHeight="1"/>
    <row r="788" ht="51" customHeight="1"/>
    <row r="789" ht="51" customHeight="1"/>
    <row r="790" ht="51" customHeight="1"/>
    <row r="791" ht="51" customHeight="1"/>
    <row r="792" ht="51" customHeight="1"/>
    <row r="793" ht="51" customHeight="1"/>
    <row r="794" ht="51" customHeight="1"/>
    <row r="795" ht="51" customHeight="1"/>
    <row r="796" ht="51" customHeight="1"/>
    <row r="797" ht="51" customHeight="1"/>
    <row r="798" ht="51" customHeight="1"/>
    <row r="799" ht="51" customHeight="1"/>
    <row r="800" ht="51" customHeight="1"/>
    <row r="801" ht="51" customHeight="1"/>
    <row r="802" ht="51" customHeight="1"/>
    <row r="803" ht="51" customHeight="1"/>
    <row r="804" ht="51" customHeight="1"/>
    <row r="805" ht="51" customHeight="1"/>
    <row r="806" ht="51" customHeight="1"/>
    <row r="807" ht="51" customHeight="1"/>
    <row r="808" ht="51" customHeight="1"/>
    <row r="809" ht="51" customHeight="1"/>
    <row r="810" ht="51" customHeight="1"/>
    <row r="811" ht="51" customHeight="1"/>
    <row r="812" ht="51" customHeight="1"/>
    <row r="813" ht="51" customHeight="1"/>
    <row r="814" ht="51" customHeight="1"/>
    <row r="815" ht="51" customHeight="1"/>
    <row r="816" ht="51" customHeight="1"/>
    <row r="817" ht="51" customHeight="1"/>
    <row r="818" ht="51" customHeight="1"/>
    <row r="819" ht="51" customHeight="1"/>
    <row r="820" ht="51" customHeight="1"/>
    <row r="821" ht="51" customHeight="1"/>
    <row r="822" ht="51" customHeight="1"/>
    <row r="823" ht="51" customHeight="1"/>
    <row r="824" ht="51" customHeight="1"/>
    <row r="825" ht="51" customHeight="1"/>
    <row r="826" ht="51" customHeight="1"/>
    <row r="827" ht="51" customHeight="1"/>
    <row r="828" ht="51" customHeight="1"/>
    <row r="829" ht="51" customHeight="1"/>
    <row r="830" ht="51" customHeight="1"/>
    <row r="831" ht="51" customHeight="1"/>
    <row r="832" ht="51" customHeight="1"/>
    <row r="833" ht="51" customHeight="1"/>
    <row r="834" ht="51" customHeight="1"/>
    <row r="835" ht="51" customHeight="1"/>
    <row r="836" ht="51" customHeight="1"/>
    <row r="837" ht="51" customHeight="1"/>
    <row r="838" ht="51" customHeight="1"/>
    <row r="839" ht="51" customHeight="1"/>
    <row r="840" ht="51" customHeight="1"/>
    <row r="841" ht="51" customHeight="1"/>
    <row r="842" ht="51" customHeight="1"/>
    <row r="843" ht="51" customHeight="1"/>
    <row r="844" ht="51" customHeight="1"/>
    <row r="845" ht="51" customHeight="1"/>
    <row r="846" ht="51" customHeight="1"/>
    <row r="847" ht="51" customHeight="1"/>
    <row r="848" ht="51" customHeight="1"/>
    <row r="849" ht="51" customHeight="1"/>
    <row r="850" ht="51" customHeight="1"/>
    <row r="851" ht="51" customHeight="1"/>
    <row r="852" ht="51" customHeight="1"/>
    <row r="853" ht="51" customHeight="1"/>
    <row r="854" ht="51" customHeight="1"/>
    <row r="855" ht="51" customHeight="1"/>
    <row r="856" ht="51" customHeight="1"/>
    <row r="857" ht="51" customHeight="1"/>
    <row r="858" ht="51" customHeight="1"/>
    <row r="859" ht="51" customHeight="1"/>
    <row r="860" ht="51" customHeight="1"/>
    <row r="861" ht="51" customHeight="1"/>
    <row r="862" ht="51" customHeight="1"/>
    <row r="863" ht="51" customHeight="1"/>
    <row r="864" ht="51" customHeight="1"/>
    <row r="865" ht="51" customHeight="1"/>
    <row r="866" ht="51" customHeight="1"/>
    <row r="867" ht="51" customHeight="1"/>
    <row r="868" ht="51" customHeight="1"/>
    <row r="869" ht="51" customHeight="1"/>
    <row r="870" ht="51" customHeight="1"/>
    <row r="871" ht="51" customHeight="1"/>
    <row r="872" ht="51" customHeight="1"/>
    <row r="873" ht="51" customHeight="1"/>
    <row r="874" ht="51" customHeight="1"/>
    <row r="875" ht="51" customHeight="1"/>
    <row r="876" ht="51" customHeight="1"/>
    <row r="877" ht="51" customHeight="1"/>
    <row r="878" ht="51" customHeight="1"/>
    <row r="879" ht="51" customHeight="1"/>
    <row r="880" ht="51" customHeight="1"/>
    <row r="881" ht="51" customHeight="1"/>
    <row r="882" ht="51" customHeight="1"/>
    <row r="883" ht="51" customHeight="1"/>
    <row r="884" ht="51" customHeight="1"/>
    <row r="885" ht="51" customHeight="1"/>
    <row r="886" ht="51" customHeight="1"/>
    <row r="887" ht="51" customHeight="1"/>
    <row r="888" ht="51" customHeight="1"/>
    <row r="889" ht="51" customHeight="1"/>
    <row r="890" ht="51" customHeight="1"/>
    <row r="891" ht="51" customHeight="1"/>
    <row r="892" ht="51" customHeight="1"/>
    <row r="893" ht="51" customHeight="1"/>
    <row r="894" ht="51" customHeight="1"/>
    <row r="895" ht="51" customHeight="1"/>
    <row r="896" ht="51" customHeight="1"/>
    <row r="897" ht="51" customHeight="1"/>
    <row r="898" ht="51" customHeight="1"/>
    <row r="899" ht="51" customHeight="1"/>
    <row r="900" ht="51" customHeight="1"/>
    <row r="901" ht="51" customHeight="1"/>
    <row r="902" ht="51" customHeight="1"/>
    <row r="903" ht="51" customHeight="1"/>
    <row r="904" ht="51" customHeight="1"/>
    <row r="905" ht="51" customHeight="1"/>
    <row r="906" ht="51" customHeight="1"/>
    <row r="907" ht="51" customHeight="1"/>
    <row r="908" ht="51" customHeight="1"/>
    <row r="909" ht="51" customHeight="1"/>
    <row r="910" ht="51" customHeight="1"/>
    <row r="911" ht="51" customHeight="1"/>
    <row r="912" ht="51" customHeight="1"/>
    <row r="913" ht="51" customHeight="1"/>
    <row r="914" ht="51" customHeight="1"/>
    <row r="915" ht="51" customHeight="1"/>
    <row r="916" ht="51" customHeight="1"/>
    <row r="917" ht="51" customHeight="1"/>
    <row r="918" ht="51" customHeight="1"/>
    <row r="919" ht="51" customHeight="1"/>
    <row r="920" ht="51" customHeight="1"/>
    <row r="921" ht="51" customHeight="1"/>
    <row r="922" ht="51" customHeight="1"/>
    <row r="923" ht="51" customHeight="1"/>
    <row r="924" ht="51" customHeight="1"/>
    <row r="925" ht="51" customHeight="1"/>
    <row r="926" ht="51" customHeight="1"/>
    <row r="927" ht="51" customHeight="1"/>
    <row r="928" ht="51" customHeight="1"/>
    <row r="929" ht="51" customHeight="1"/>
    <row r="930" ht="51" customHeight="1"/>
    <row r="931" ht="51" customHeight="1"/>
    <row r="932" ht="51" customHeight="1"/>
    <row r="933" ht="51" customHeight="1"/>
    <row r="934" ht="51" customHeight="1"/>
    <row r="935" ht="51" customHeight="1"/>
    <row r="936" ht="51" customHeight="1"/>
    <row r="937" ht="51" customHeight="1"/>
    <row r="938" ht="51" customHeight="1"/>
    <row r="939" ht="51" customHeight="1"/>
    <row r="940" ht="51" customHeight="1"/>
    <row r="941" ht="51" customHeight="1"/>
    <row r="942" ht="51" customHeight="1"/>
    <row r="943" ht="51" customHeight="1"/>
    <row r="944" ht="51" customHeight="1"/>
    <row r="945" ht="51" customHeight="1"/>
    <row r="946" ht="51" customHeight="1"/>
    <row r="947" ht="51" customHeight="1"/>
    <row r="948" ht="51" customHeight="1"/>
    <row r="949" ht="51" customHeight="1"/>
    <row r="950" ht="51" customHeight="1"/>
    <row r="951" ht="51" customHeight="1"/>
    <row r="952" ht="51" customHeight="1"/>
    <row r="953" ht="51" customHeight="1"/>
    <row r="954" ht="51" customHeight="1"/>
    <row r="955" ht="51" customHeight="1"/>
    <row r="956" ht="51" customHeight="1"/>
    <row r="957" ht="51" customHeight="1"/>
    <row r="958" ht="51" customHeight="1"/>
    <row r="959" ht="51" customHeight="1"/>
    <row r="960" ht="51" customHeight="1"/>
    <row r="961" ht="51" customHeight="1"/>
    <row r="962" ht="51" customHeight="1"/>
    <row r="963" ht="51" customHeight="1"/>
    <row r="964" ht="51" customHeight="1"/>
    <row r="965" ht="51" customHeight="1"/>
    <row r="966" ht="51" customHeight="1"/>
    <row r="967" ht="51" customHeight="1"/>
    <row r="968" ht="51" customHeight="1"/>
    <row r="969" ht="51" customHeight="1"/>
    <row r="970" ht="51" customHeight="1"/>
    <row r="971" ht="51" customHeight="1"/>
    <row r="972" ht="51" customHeight="1"/>
    <row r="973" ht="51" customHeight="1"/>
    <row r="974" ht="51" customHeight="1"/>
    <row r="975" ht="51" customHeight="1"/>
    <row r="976" ht="51" customHeight="1"/>
    <row r="977" ht="51" customHeight="1"/>
    <row r="978" ht="51" customHeight="1"/>
    <row r="979" ht="51" customHeight="1"/>
    <row r="980" ht="51" customHeight="1"/>
    <row r="981" ht="51" customHeight="1"/>
    <row r="982" ht="51" customHeight="1"/>
    <row r="983" ht="51" customHeight="1"/>
    <row r="984" ht="51" customHeight="1"/>
    <row r="985" ht="51" customHeight="1"/>
    <row r="986" ht="51" customHeight="1"/>
    <row r="987" ht="51" customHeight="1"/>
    <row r="988" ht="51" customHeight="1"/>
    <row r="989" ht="51" customHeight="1"/>
    <row r="990" ht="51" customHeight="1"/>
    <row r="991" ht="51" customHeight="1"/>
    <row r="992" ht="51" customHeight="1"/>
    <row r="993" ht="51" customHeight="1"/>
    <row r="994" ht="51" customHeight="1"/>
    <row r="995" ht="51" customHeight="1"/>
    <row r="996" ht="51" customHeight="1"/>
    <row r="997" ht="51" customHeight="1"/>
    <row r="998" ht="51" customHeight="1"/>
    <row r="999" ht="51" customHeight="1"/>
  </sheetData>
  <autoFilter ref="A1:J1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"/>
  <sheetViews>
    <sheetView workbookViewId="0"/>
  </sheetViews>
  <sheetFormatPr baseColWidth="10" defaultColWidth="12.5703125" defaultRowHeight="15" customHeight="1"/>
  <cols>
    <col min="1" max="1" width="21.42578125" customWidth="1"/>
    <col min="2" max="2" width="20.140625" customWidth="1"/>
    <col min="3" max="4" width="26.7109375" customWidth="1"/>
  </cols>
  <sheetData>
    <row r="1" spans="1:4">
      <c r="A1" s="12" t="s">
        <v>169</v>
      </c>
      <c r="B1" s="12" t="s">
        <v>2</v>
      </c>
      <c r="C1" s="13" t="s">
        <v>170</v>
      </c>
      <c r="D1" s="12" t="s">
        <v>122</v>
      </c>
    </row>
    <row r="2" spans="1:4">
      <c r="A2" s="8" t="s">
        <v>171</v>
      </c>
      <c r="B2" s="8" t="s">
        <v>172</v>
      </c>
      <c r="C2" s="8" t="s">
        <v>54</v>
      </c>
      <c r="D2" s="8">
        <v>14</v>
      </c>
    </row>
    <row r="3" spans="1:4">
      <c r="A3" s="8" t="s">
        <v>171</v>
      </c>
      <c r="B3" s="8" t="s">
        <v>172</v>
      </c>
      <c r="C3" s="8" t="s">
        <v>173</v>
      </c>
      <c r="D3" s="8">
        <v>7</v>
      </c>
    </row>
    <row r="4" spans="1:4">
      <c r="A4" s="8" t="s">
        <v>174</v>
      </c>
      <c r="B4" s="8" t="s">
        <v>175</v>
      </c>
      <c r="D4" s="8">
        <v>1</v>
      </c>
    </row>
    <row r="5" spans="1:4">
      <c r="A5" s="8" t="s">
        <v>174</v>
      </c>
      <c r="D5" s="8">
        <v>3</v>
      </c>
    </row>
    <row r="6" spans="1:4">
      <c r="A6" s="8" t="s">
        <v>176</v>
      </c>
      <c r="D6" s="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"/>
  <sheetViews>
    <sheetView workbookViewId="0"/>
  </sheetViews>
  <sheetFormatPr baseColWidth="10" defaultColWidth="12.5703125" defaultRowHeight="15" customHeight="1"/>
  <sheetData>
    <row r="1" spans="1:8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2" t="s">
        <v>122</v>
      </c>
      <c r="H1" s="14"/>
    </row>
    <row r="2" spans="1:8">
      <c r="A2" s="8" t="s">
        <v>13</v>
      </c>
      <c r="B2" s="8" t="s">
        <v>72</v>
      </c>
      <c r="C2" s="8" t="s">
        <v>73</v>
      </c>
      <c r="E2" s="8" t="s">
        <v>56</v>
      </c>
      <c r="G2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2.5703125" defaultRowHeight="1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8"/>
  <sheetViews>
    <sheetView workbookViewId="0"/>
  </sheetViews>
  <sheetFormatPr baseColWidth="10" defaultColWidth="12.5703125" defaultRowHeight="15" customHeight="1"/>
  <cols>
    <col min="1" max="1" width="15.140625" customWidth="1"/>
    <col min="2" max="2" width="29" customWidth="1"/>
  </cols>
  <sheetData>
    <row r="1" spans="1:5">
      <c r="A1" s="8" t="s">
        <v>177</v>
      </c>
      <c r="B1" s="8" t="s">
        <v>178</v>
      </c>
      <c r="C1" s="8" t="s">
        <v>179</v>
      </c>
      <c r="D1" s="8" t="s">
        <v>180</v>
      </c>
      <c r="E1" s="8" t="s">
        <v>181</v>
      </c>
    </row>
    <row r="2" spans="1:5">
      <c r="A2" s="8" t="s">
        <v>182</v>
      </c>
      <c r="B2" s="8" t="s">
        <v>183</v>
      </c>
      <c r="C2" s="8" t="s">
        <v>184</v>
      </c>
      <c r="D2" s="8" t="s">
        <v>185</v>
      </c>
      <c r="E2" s="8" t="s">
        <v>186</v>
      </c>
    </row>
    <row r="3" spans="1:5">
      <c r="A3" s="8" t="s">
        <v>187</v>
      </c>
      <c r="B3" s="8" t="s">
        <v>188</v>
      </c>
      <c r="C3" s="8" t="s">
        <v>189</v>
      </c>
      <c r="D3" s="8" t="s">
        <v>190</v>
      </c>
      <c r="E3" s="8" t="s">
        <v>191</v>
      </c>
    </row>
    <row r="4" spans="1:5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</row>
    <row r="5" spans="1:5">
      <c r="A5" s="8"/>
      <c r="B5" s="8" t="s">
        <v>197</v>
      </c>
      <c r="C5" s="8" t="s">
        <v>198</v>
      </c>
      <c r="D5" s="8" t="s">
        <v>199</v>
      </c>
      <c r="E5" s="8" t="s">
        <v>200</v>
      </c>
    </row>
    <row r="6" spans="1:5">
      <c r="A6" s="8"/>
      <c r="B6" s="8" t="s">
        <v>201</v>
      </c>
      <c r="C6" s="8" t="s">
        <v>202</v>
      </c>
      <c r="D6" s="8" t="s">
        <v>203</v>
      </c>
      <c r="E6" s="8" t="s">
        <v>204</v>
      </c>
    </row>
    <row r="7" spans="1:5">
      <c r="A7" s="8"/>
      <c r="B7" s="8" t="s">
        <v>205</v>
      </c>
      <c r="C7" s="8" t="s">
        <v>206</v>
      </c>
      <c r="D7" s="8" t="s">
        <v>207</v>
      </c>
      <c r="E7" s="8"/>
    </row>
    <row r="8" spans="1:5">
      <c r="A8" s="8"/>
      <c r="B8" s="8" t="s">
        <v>208</v>
      </c>
      <c r="C8" s="8" t="s">
        <v>209</v>
      </c>
      <c r="D8" s="8" t="s">
        <v>210</v>
      </c>
      <c r="E8" s="8"/>
    </row>
    <row r="9" spans="1:5">
      <c r="A9" s="8"/>
      <c r="B9" s="8" t="s">
        <v>211</v>
      </c>
      <c r="C9" s="8" t="s">
        <v>212</v>
      </c>
      <c r="D9" s="8" t="s">
        <v>213</v>
      </c>
      <c r="E9" s="8"/>
    </row>
    <row r="10" spans="1:5">
      <c r="A10" s="8"/>
      <c r="B10" s="8" t="s">
        <v>214</v>
      </c>
      <c r="C10" s="8" t="s">
        <v>215</v>
      </c>
      <c r="D10" s="8" t="s">
        <v>216</v>
      </c>
      <c r="E10" s="8"/>
    </row>
    <row r="11" spans="1:5">
      <c r="A11" s="8"/>
      <c r="B11" s="8" t="s">
        <v>217</v>
      </c>
      <c r="C11" s="8" t="s">
        <v>218</v>
      </c>
      <c r="D11" s="8" t="s">
        <v>219</v>
      </c>
      <c r="E11" s="8"/>
    </row>
    <row r="12" spans="1:5">
      <c r="A12" s="8"/>
      <c r="B12" s="8" t="s">
        <v>220</v>
      </c>
      <c r="C12" s="8" t="s">
        <v>221</v>
      </c>
      <c r="D12" s="8" t="s">
        <v>222</v>
      </c>
      <c r="E12" s="8"/>
    </row>
    <row r="13" spans="1:5">
      <c r="A13" s="8"/>
      <c r="B13" s="8" t="s">
        <v>223</v>
      </c>
      <c r="C13" s="8" t="s">
        <v>224</v>
      </c>
      <c r="D13" s="8" t="s">
        <v>225</v>
      </c>
      <c r="E13" s="8"/>
    </row>
    <row r="14" spans="1:5">
      <c r="A14" s="8"/>
      <c r="B14" s="8" t="s">
        <v>226</v>
      </c>
      <c r="C14" s="8" t="s">
        <v>227</v>
      </c>
      <c r="D14" s="8" t="s">
        <v>228</v>
      </c>
      <c r="E14" s="8"/>
    </row>
    <row r="15" spans="1:5">
      <c r="A15" s="8"/>
      <c r="B15" s="8"/>
      <c r="C15" s="8" t="s">
        <v>229</v>
      </c>
      <c r="D15" s="8" t="s">
        <v>230</v>
      </c>
      <c r="E15" s="8"/>
    </row>
    <row r="16" spans="1:5">
      <c r="A16" s="8"/>
      <c r="B16" s="8"/>
      <c r="C16" s="8" t="s">
        <v>231</v>
      </c>
      <c r="D16" s="8" t="s">
        <v>232</v>
      </c>
      <c r="E16" s="8"/>
    </row>
    <row r="17" spans="1:5">
      <c r="A17" s="8"/>
      <c r="B17" s="8"/>
      <c r="C17" s="8" t="s">
        <v>233</v>
      </c>
      <c r="D17" s="8" t="s">
        <v>234</v>
      </c>
      <c r="E17" s="8"/>
    </row>
    <row r="18" spans="1:5">
      <c r="A18" s="8"/>
      <c r="B18" s="8"/>
      <c r="C18" s="8" t="s">
        <v>235</v>
      </c>
      <c r="D18" s="8"/>
      <c r="E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Peaux</vt:lpstr>
      <vt:lpstr>Bijoux</vt:lpstr>
      <vt:lpstr>Produits</vt:lpstr>
      <vt:lpstr>Stock transit - matières premiè</vt:lpstr>
      <vt:lpstr>Stock transit - produits finis</vt:lpstr>
      <vt:lpstr>Règles de nommage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Hacquard</dc:creator>
  <cp:lastModifiedBy>Vincent Hacquard</cp:lastModifiedBy>
  <dcterms:created xsi:type="dcterms:W3CDTF">2026-06-06T20:34:14Z</dcterms:created>
  <dcterms:modified xsi:type="dcterms:W3CDTF">2026-06-06T20:34:14Z</dcterms:modified>
</cp:coreProperties>
</file>